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00_SYNNOVA\00_PROJETOS\MACLINEA\CONTAS A RECEBER\"/>
    </mc:Choice>
  </mc:AlternateContent>
  <xr:revisionPtr revIDLastSave="0" documentId="13_ncr:1_{61071CBE-5141-48F8-A162-DC0619E30A71}" xr6:coauthVersionLast="47" xr6:coauthVersionMax="47" xr10:uidLastSave="{00000000-0000-0000-0000-000000000000}"/>
  <bookViews>
    <workbookView xWindow="28680" yWindow="-120" windowWidth="29040" windowHeight="15720" activeTab="1" xr2:uid="{EBD186EC-2D34-4ACD-B1E3-2052E14E8CB7}"/>
  </bookViews>
  <sheets>
    <sheet name="Planilha2" sheetId="2" r:id="rId1"/>
    <sheet name="Planilha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<sst xmlns="http://schemas.openxmlformats.org/spreadsheetml/2006/main" count="256" uniqueCount="171">
  <si>
    <t>Nº Documento</t>
  </si>
  <si>
    <t>Nome Pagador</t>
  </si>
  <si>
    <t>Dt. Crédito</t>
  </si>
  <si>
    <t>Valor Doc.</t>
  </si>
  <si>
    <t>53770-001</t>
  </si>
  <si>
    <t>LUCIANE INDUSTRIA MOVELEIRA LTDA</t>
  </si>
  <si>
    <t>5376-001</t>
  </si>
  <si>
    <t>MOVEIS DALLA COSTA LTDA</t>
  </si>
  <si>
    <t>53716-001</t>
  </si>
  <si>
    <t>53716-003</t>
  </si>
  <si>
    <t>7170-A</t>
  </si>
  <si>
    <t>MADEBIL MADEIREIRA BITURUNA LTDA</t>
  </si>
  <si>
    <t>53771-001</t>
  </si>
  <si>
    <t>COMPENSADOS IMPERIO LTDA</t>
  </si>
  <si>
    <t>53757-001</t>
  </si>
  <si>
    <t>TERA INOX SOLUTIONS INDUSTRIA METALURGIC</t>
  </si>
  <si>
    <t>53763-001</t>
  </si>
  <si>
    <t>SCALCO BOMBONATO LTDA</t>
  </si>
  <si>
    <t>53762-001</t>
  </si>
  <si>
    <t>MOVEIS CARRARO</t>
  </si>
  <si>
    <t>53764-001</t>
  </si>
  <si>
    <t>RIMO INDUSTRIA DE MOVEIS E COMERCIO LTDA</t>
  </si>
  <si>
    <t>53749-001</t>
  </si>
  <si>
    <t>INDUSTRIA DE MOVEIS LEAO LTDA</t>
  </si>
  <si>
    <t>53755-001</t>
  </si>
  <si>
    <t>DEMOBILE INDUSTRIA DE MOVEIS LTDA</t>
  </si>
  <si>
    <t>53707-002</t>
  </si>
  <si>
    <t>FINESTRA INDUSTRIA E COMERCIO DE MADEIRA</t>
  </si>
  <si>
    <t>BRAFER CONSTRUCOES METALICAS LTDA</t>
  </si>
  <si>
    <t>53745-001</t>
  </si>
  <si>
    <t>INDUSPARQUET INDUSTRIA E COMERCIO DE MAD</t>
  </si>
  <si>
    <t>53743-001</t>
  </si>
  <si>
    <t>SAN MARINO MOVEIS LTDA</t>
  </si>
  <si>
    <t>53744-001</t>
  </si>
  <si>
    <t>JB BECHARA INDUSTRIA DE MOVEIS LTDA</t>
  </si>
  <si>
    <t>53707-003</t>
  </si>
  <si>
    <t>53837-001</t>
  </si>
  <si>
    <t>INDUSTRIA E COMERCIO DE MOVEIS MARX LTDA</t>
  </si>
  <si>
    <t>53818-001</t>
  </si>
  <si>
    <t>53817-001</t>
  </si>
  <si>
    <t>53717-001</t>
  </si>
  <si>
    <t>DJ INDUSTRIA E COMERCIO DE MOVEIS LTDA</t>
  </si>
  <si>
    <t>53741-001</t>
  </si>
  <si>
    <t>MOVEIS RODIAL LTDA</t>
  </si>
  <si>
    <t>53679-001</t>
  </si>
  <si>
    <t>MTA INDUSTRIA E COMERCIO DE ARTEFATOS DE</t>
  </si>
  <si>
    <t>53679-002</t>
  </si>
  <si>
    <t>53663-002</t>
  </si>
  <si>
    <t>53733-001</t>
  </si>
  <si>
    <t>MADEMARQUES MOVEIS LTDA</t>
  </si>
  <si>
    <t>53672-002</t>
  </si>
  <si>
    <t>MM GABINETES LTDA</t>
  </si>
  <si>
    <t>53734-001</t>
  </si>
  <si>
    <t>ACP INDUSTRIA DE MOVEIS LTDA.</t>
  </si>
  <si>
    <t>7158-A-002</t>
  </si>
  <si>
    <t>INDUSTRIA E COMERCIO MOVEIS CBG MIRASSOL</t>
  </si>
  <si>
    <t>53707-001</t>
  </si>
  <si>
    <t>53726-001</t>
  </si>
  <si>
    <t>BARRETO LONCARCCI INDUSTRIA DE MOVEIS LT</t>
  </si>
  <si>
    <t>53563-003</t>
  </si>
  <si>
    <t>MPA AUTOMACAO E INTEGRACAO LTDA</t>
  </si>
  <si>
    <t>53725-001</t>
  </si>
  <si>
    <t>UNIVERSUM DO BRASIL INDUSTRIA MOVELEIRA</t>
  </si>
  <si>
    <t>53775-001</t>
  </si>
  <si>
    <t>YTUMAD COMERCIO DE MADEIRAS LTDA - EPP</t>
  </si>
  <si>
    <t>53718-001</t>
  </si>
  <si>
    <t>MOVAL MOVEIS ARAPONGAS LTDA</t>
  </si>
  <si>
    <t>53721-001</t>
  </si>
  <si>
    <t>7157-A</t>
  </si>
  <si>
    <t>MARIA MARIA IND. E COM. DE MOVEIS LTDA.</t>
  </si>
  <si>
    <t>7159-A</t>
  </si>
  <si>
    <t>DIVALOTO MOVEIS LTDA ME</t>
  </si>
  <si>
    <t>53724-001</t>
  </si>
  <si>
    <t>VALVERDE INDUSTRIA E TRANSPORTES LTDA</t>
  </si>
  <si>
    <t>53720-001</t>
  </si>
  <si>
    <t>PHOENIX IND. COM. DE MOVEIS E ESTOFADOS</t>
  </si>
  <si>
    <t>7162-A-002</t>
  </si>
  <si>
    <t>COMPLETE MOVEIS PLANEJADOS LTDA</t>
  </si>
  <si>
    <t>7160-A</t>
  </si>
  <si>
    <t>BUBAMASTER USINAGEM DE PECAS LTDA</t>
  </si>
  <si>
    <t>7161-A</t>
  </si>
  <si>
    <t>GRUPO K1 SA</t>
  </si>
  <si>
    <t>53709-001</t>
  </si>
  <si>
    <t>53705-001</t>
  </si>
  <si>
    <t>7158-A-001</t>
  </si>
  <si>
    <t>53692-001</t>
  </si>
  <si>
    <t>INDUSTRIA DE MOVEIS PEROBA LTDA - ME</t>
  </si>
  <si>
    <t>53710-001</t>
  </si>
  <si>
    <t>53708-001</t>
  </si>
  <si>
    <t>INDUSTRIA DE MOVEIS CEDRO MIRASSOL LTDA</t>
  </si>
  <si>
    <t>53678-001</t>
  </si>
  <si>
    <t>INDUSTRIA DE MOVEIS THB LTDA</t>
  </si>
  <si>
    <t>53538-003</t>
  </si>
  <si>
    <t>BIATEX IMPREGNADORA LTDA</t>
  </si>
  <si>
    <t>53684-001</t>
  </si>
  <si>
    <t>BIANCHINI INDUSTRIA DE PLASTICOS LTDA</t>
  </si>
  <si>
    <t>53698-001</t>
  </si>
  <si>
    <t>COMERCIO INDUSTRIA E TRANSPORTES LOPAS S</t>
  </si>
  <si>
    <t>53690-001</t>
  </si>
  <si>
    <t>53676-001</t>
  </si>
  <si>
    <t>NICIOLI INDUSTRIA E COMERCIO DE MOVEIS L</t>
  </si>
  <si>
    <t>53685-001</t>
  </si>
  <si>
    <t>MD MOVEIS LTDA</t>
  </si>
  <si>
    <t>Total Geral</t>
  </si>
  <si>
    <t>Soma de Valor Pago</t>
  </si>
  <si>
    <t>Dias (Emissão)</t>
  </si>
  <si>
    <t>(Tudo)</t>
  </si>
  <si>
    <t>04/12/2025 Total</t>
  </si>
  <si>
    <t>03/12/2025 Total</t>
  </si>
  <si>
    <t>02/12/2025 Total</t>
  </si>
  <si>
    <t>01/12/2025 Total</t>
  </si>
  <si>
    <t>28/11/2025 Total</t>
  </si>
  <si>
    <t>27/11/2025 Total</t>
  </si>
  <si>
    <t>26/11/2025 Total</t>
  </si>
  <si>
    <t>25/11/2025 Total</t>
  </si>
  <si>
    <t>24/11/2025 Total</t>
  </si>
  <si>
    <t>21/11/2025 Total</t>
  </si>
  <si>
    <t>19/11/2025 Total</t>
  </si>
  <si>
    <t>18/11/2025 Total</t>
  </si>
  <si>
    <t>17/11/2025 Total</t>
  </si>
  <si>
    <t>14/11/2025 Total</t>
  </si>
  <si>
    <t>12/11/2025 Total</t>
  </si>
  <si>
    <t>Data Vencimento</t>
  </si>
  <si>
    <t>Data Emissão</t>
  </si>
  <si>
    <t>CNPJ</t>
  </si>
  <si>
    <t>73.500.480/0002-04</t>
  </si>
  <si>
    <t>03.029.980/0001-43</t>
  </si>
  <si>
    <t>75.967.331/0001-02</t>
  </si>
  <si>
    <t>80.813.710/0001-70</t>
  </si>
  <si>
    <t>33.490.042/0001-07</t>
  </si>
  <si>
    <t>04.565.807/0001-22</t>
  </si>
  <si>
    <t>87.548.814/0001-43</t>
  </si>
  <si>
    <t>32.430.993/0001-28</t>
  </si>
  <si>
    <t>79.130.514/0001-11</t>
  </si>
  <si>
    <t>75.069.849/0001-10</t>
  </si>
  <si>
    <t>80.143.548/0001-20</t>
  </si>
  <si>
    <t>77.153.773/0001-32</t>
  </si>
  <si>
    <t>72.459.373/0001-36</t>
  </si>
  <si>
    <t>88.612.908/0001-05</t>
  </si>
  <si>
    <t>55.837.579/0001-33</t>
  </si>
  <si>
    <t>76.831.635/0001-00</t>
  </si>
  <si>
    <t>85.074.623/0001-61</t>
  </si>
  <si>
    <t>91.062.497/0001-28</t>
  </si>
  <si>
    <t>85.478.857/0001-74</t>
  </si>
  <si>
    <t>25.760.786/0001-76</t>
  </si>
  <si>
    <t>04.661.819/0001-50</t>
  </si>
  <si>
    <t>30.746.945/0001-18</t>
  </si>
  <si>
    <t>10.353.009/0001-30</t>
  </si>
  <si>
    <t>08.731.856/0001-49</t>
  </si>
  <si>
    <t>12.538.950/0001-53</t>
  </si>
  <si>
    <t>87.215.281/0001-88</t>
  </si>
  <si>
    <t>09.228.789/0001-07</t>
  </si>
  <si>
    <t>75.400.903/0001-69</t>
  </si>
  <si>
    <t>10.239.332/0001-87</t>
  </si>
  <si>
    <t>01.919.590/0001-13</t>
  </si>
  <si>
    <t>25.474.875/0001-56</t>
  </si>
  <si>
    <t>07.668.649/0001-24</t>
  </si>
  <si>
    <t>33.385.344/0001-15</t>
  </si>
  <si>
    <t>01.611.622/0001-19</t>
  </si>
  <si>
    <t>00.912.882/0001-61</t>
  </si>
  <si>
    <t>06.368.547/0001-20</t>
  </si>
  <si>
    <t>57.268.776/0001-04</t>
  </si>
  <si>
    <t>72.144.066/0001-66</t>
  </si>
  <si>
    <t>04.095.330/0001-69</t>
  </si>
  <si>
    <t>00.373.732/0001-27</t>
  </si>
  <si>
    <t>21.473.590/0001-40</t>
  </si>
  <si>
    <t>76.622.968/0001-11</t>
  </si>
  <si>
    <t>89.042.642/0001-67</t>
  </si>
  <si>
    <t>PLANO DE CONTAS</t>
  </si>
  <si>
    <t>A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</si>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</sst>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44" fontId="2" fillId="0" borderId="0" xfId="1" applyFont="1"/>
    <xf numFmtId="0" fontId="0" fillId="0" borderId="0" xfId="0" applyNumberFormat="1"/>
    <xf numFmtId="0" fontId="0" fillId="0" borderId="0" xfId="1" applyNumberFormat="1" applyFont="1"/>
  </cellXfs>
  <cellStyles count="2">
    <cellStyle name="Moeda" xfId="1" builtinId="4"/>
    <cellStyle name="Normal" xfId="0" builtinId="0"/>
  </cellStyles>
  <dxfs count="6"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5995.740158796296" createdVersion="8" refreshedVersion="8" minRefreshableVersion="3" recordCount="57" xr:uid="{C7D75412-A425-4C46-A089-D58A51805EF1}">
  <cacheSource type="worksheet">
    <worksheetSource name="Tabela2"/>
  </cacheSource>
  <cacheFields count="14">
    <cacheField name="Nº Documento" numFmtId="0">
      <sharedItems containsMixedTypes="1" containsNumber="1" containsInteger="1" minValue="931001" maxValue="931001" count="57">
        <s v="53770-001"/>
        <s v="5376-001"/>
        <s v="53716-001"/>
        <s v="53716-003"/>
        <s v="7170-A"/>
        <s v="53771-001"/>
        <s v="53757-001"/>
        <s v="53763-001"/>
        <s v="53762-001"/>
        <s v="53764-001"/>
        <s v="53749-001"/>
        <s v="53755-001"/>
        <s v="53707-002"/>
        <n v="931001"/>
        <s v="53745-001"/>
        <s v="53743-001"/>
        <s v="53744-001"/>
        <s v="53707-003"/>
        <s v="53837-001"/>
        <s v="53818-001"/>
        <s v="53817-001"/>
        <s v="53717-001"/>
        <s v="53741-001"/>
        <s v="53679-001"/>
        <s v="53679-002"/>
        <s v="53663-002"/>
        <s v="53733-001"/>
        <s v="53672-002"/>
        <s v="53734-001"/>
        <s v="7158-A-002"/>
        <s v="53707-001"/>
        <s v="53726-001"/>
        <s v="53563-003"/>
        <s v="53725-001"/>
        <s v="53775-001"/>
        <s v="53718-001"/>
        <s v="53721-001"/>
        <s v="7157-A"/>
        <s v="7159-A"/>
        <s v="53724-001"/>
        <s v="53720-001"/>
        <s v="7162-A-002"/>
        <s v="7160-A"/>
        <s v="7161-A"/>
        <s v="53709-001"/>
        <s v="53705-001"/>
        <s v="7158-A-001"/>
        <s v="53692-001"/>
        <s v="53710-001"/>
        <s v="53708-001"/>
        <s v="53678-001"/>
        <s v="53538-003"/>
        <s v="53684-001"/>
        <s v="53698-001"/>
        <s v="53690-001"/>
        <s v="53676-001"/>
        <s v="53685-001"/>
      </sharedItems>
    </cacheField>
    <cacheField name="Nome Pagador" numFmtId="0">
      <sharedItems count="43">
        <s v="LUCIANE INDUSTRIA MOVELEIRA LTDA"/>
        <s v="MOVEIS DALLA COSTA LTDA"/>
        <s v="MADEBIL MADEIREIRA BITURUNA LTDA"/>
        <s v="COMPENSADOS IMPERIO LTDA"/>
        <s v="TERA INOX SOLUTIONS INDUSTRIA METALURGIC"/>
        <s v="SCALCO BOMBONATO LTDA"/>
        <s v="MOVEIS CARRARO"/>
        <s v="RIMO INDUSTRIA DE MOVEIS E COMERCIO LTDA"/>
        <s v="INDUSTRIA DE MOVEIS LEAO LTDA"/>
        <s v="DEMOBILE INDUSTRIA DE MOVEIS LTDA"/>
        <s v="FINESTRA INDUSTRIA E COMERCIO DE MADEIRA"/>
        <s v="BRAFER CONSTRUCOES METALICAS LTDA"/>
        <s v="INDUSPARQUET INDUSTRIA E COMERCIO DE MAD"/>
        <s v="SAN MARINO MOVEIS LTDA"/>
        <s v="JB BECHARA INDUSTRIA DE MOVEIS LTDA"/>
        <s v="INDUSTRIA E COMERCIO DE MOVEIS MARX LTDA"/>
        <s v="DJ INDUSTRIA E COMERCIO DE MOVEIS LTDA"/>
        <s v="MOVEIS RODIAL LTDA"/>
        <s v="MTA INDUSTRIA E COMERCIO DE ARTEFATOS DE"/>
        <s v="MADEMARQUES MOVEIS LTDA"/>
        <s v="MM GABINETES LTDA"/>
        <s v="ACP INDUSTRIA DE MOVEIS LTDA."/>
        <s v="INDUSTRIA E COMERCIO MOVEIS CBG MIRASSOL"/>
        <s v="BARRETO LONCARCCI INDUSTRIA DE MOVEIS LT"/>
        <s v="MPA AUTOMACAO E INTEGRACAO LTDA"/>
        <s v="UNIVERSUM DO BRASIL INDUSTRIA MOVELEIRA"/>
        <s v="YTUMAD COMERCIO DE MADEIRAS LTDA - EPP"/>
        <s v="MOVAL MOVEIS ARAPONGAS LTDA"/>
        <s v="MARIA MARIA IND. E COM. DE MOVEIS LTDA."/>
        <s v="DIVALOTO MOVEIS LTDA ME"/>
        <s v="VALVERDE INDUSTRIA E TRANSPORTES LTDA"/>
        <s v="PHOENIX IND. COM. DE MOVEIS E ESTOFADOS"/>
        <s v="COMPLETE MOVEIS PLANEJADOS LTDA"/>
        <s v="BUBAMASTER USINAGEM DE PECAS LTDA"/>
        <s v="GRUPO K1 SA"/>
        <s v="INDUSTRIA DE MOVEIS PEROBA LTDA - ME"/>
        <s v="INDUSTRIA DE MOVEIS CEDRO MIRASSOL LTDA"/>
        <s v="INDUSTRIA DE MOVEIS THB LTDA"/>
        <s v="BIATEX IMPREGNADORA LTDA"/>
        <s v="BIANCHINI INDUSTRIA DE PLASTICOS LTDA"/>
        <s v="COMERCIO INDUSTRIA E TRANSPORTES LOPAS S"/>
        <s v="NICIOLI INDUSTRIA E COMERCIO DE MOVEIS L"/>
        <s v="MD MOVEIS LTDA"/>
      </sharedItems>
    </cacheField>
    <cacheField name="Inscrição Pagador" numFmtId="0">
      <sharedItems/>
    </cacheField>
    <cacheField name="Emissão" numFmtId="14">
      <sharedItems containsSemiMixedTypes="0" containsNonDate="0" containsDate="1" containsString="0" minDate="2025-11-11T00:00:00" maxDate="2025-12-03T00:00:00" count="13">
        <d v="2025-11-27T00:00:00"/>
        <d v="2025-12-02T00:00:00"/>
        <d v="2025-12-01T00:00:00"/>
        <d v="2025-11-11T00:00:00"/>
        <d v="2025-11-24T00:00:00"/>
        <d v="2025-11-26T00:00:00"/>
        <d v="2025-11-28T00:00:00"/>
        <d v="2025-11-19T00:00:00"/>
        <d v="2025-11-17T00:00:00"/>
        <d v="2025-11-25T00:00:00"/>
        <d v="2025-11-12T00:00:00"/>
        <d v="2025-11-18T00:00:00"/>
        <d v="2025-11-13T00:00:00"/>
      </sharedItems>
      <fieldGroup par="13"/>
    </cacheField>
    <cacheField name="Tipo Inclusão" numFmtId="0">
      <sharedItems/>
    </cacheField>
    <cacheField name="Vencimento" numFmtId="14">
      <sharedItems containsSemiMixedTypes="0" containsNonDate="0" containsDate="1" containsString="0" minDate="2025-11-11T00:00:00" maxDate="2026-01-22T00:00:00"/>
    </cacheField>
    <cacheField name="Dt. Crédito" numFmtId="14">
      <sharedItems containsSemiMixedTypes="0" containsNonDate="0" containsDate="1" containsString="0" containsMixedTypes="1" minDate="2025-11-12T00:00:00" maxDate="1900-01-05T00:51:04" count="30">
        <d v="2025-12-04T00:00:00"/>
        <d v="2025-12-03T00:00:00"/>
        <d v="2025-12-02T00:00:00"/>
        <d v="2025-12-01T00:00:00"/>
        <d v="2025-11-28T00:00:00"/>
        <d v="2025-11-27T00:00:00"/>
        <d v="2025-11-26T00:00:00"/>
        <d v="2025-11-25T00:00:00"/>
        <d v="2025-11-24T00:00:00"/>
        <d v="2025-11-21T00:00:00"/>
        <d v="2025-11-19T00:00:00"/>
        <d v="2025-11-18T00:00:00"/>
        <d v="2025-11-17T00:00:00"/>
        <d v="2025-11-14T00:00:00"/>
        <d v="2025-11-12T00:00:00"/>
        <n v="45995" u="1"/>
        <n v="45994" u="1"/>
        <n v="45993" u="1"/>
        <n v="45992" u="1"/>
        <n v="45989" u="1"/>
        <n v="45988" u="1"/>
        <n v="45987" u="1"/>
        <n v="45986" u="1"/>
        <n v="45985" u="1"/>
        <n v="45982" u="1"/>
        <n v="45980" u="1"/>
        <n v="45979" u="1"/>
        <n v="45978" u="1"/>
        <n v="45975" u="1"/>
        <n v="45973" u="1"/>
      </sharedItems>
    </cacheField>
    <cacheField name="Valor Doc." numFmtId="44">
      <sharedItems containsSemiMixedTypes="0" containsString="0" containsNumber="1" minValue="96.43" maxValue="130000"/>
    </cacheField>
    <cacheField name="Juros" numFmtId="44">
      <sharedItems containsString="0" containsBlank="1" containsNumber="1" minValue="0.33" maxValue="1"/>
    </cacheField>
    <cacheField name="Multa" numFmtId="44">
      <sharedItems containsString="0" containsBlank="1" containsNumber="1" containsInteger="1" minValue="2" maxValue="20"/>
    </cacheField>
    <cacheField name="Valor Pago" numFmtId="44">
      <sharedItems containsSemiMixedTypes="0" containsString="0" containsNumber="1" minValue="96.43" maxValue="130000"/>
    </cacheField>
    <cacheField name="Valor Diferença Cobrada" numFmtId="0">
      <sharedItems containsString="0" containsBlank="1" containsNumber="1" minValue="46.66" maxValue="46.66"/>
    </cacheField>
    <cacheField name="Dias (Emissão)" numFmtId="0" databaseField="0">
      <fieldGroup base="3">
        <rangePr groupBy="days" startDate="2025-11-11T00:00:00" endDate="2025-12-03T00:00:00"/>
        <groupItems count="368">
          <s v="&lt;11/1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3/12/2025"/>
        </groupItems>
      </fieldGroup>
    </cacheField>
    <cacheField name="Meses (Emissão)" numFmtId="0" databaseField="0">
      <fieldGroup base="3">
        <rangePr groupBy="months" startDate="2025-11-11T00:00:00" endDate="2025-12-03T00:00:00"/>
        <groupItems count="14">
          <s v="&lt;11/1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s v="073.500.480/0002-04"/>
    <x v="0"/>
    <s v="Digitado"/>
    <d v="2025-12-03T00:00:00"/>
    <x v="0"/>
    <n v="750.45"/>
    <n v="0.33"/>
    <n v="20"/>
    <n v="750.45"/>
    <m/>
  </r>
  <r>
    <x v="1"/>
    <x v="1"/>
    <s v="003.029.980/0001-43"/>
    <x v="1"/>
    <s v="Digitado"/>
    <d v="2025-12-05T00:00:00"/>
    <x v="0"/>
    <n v="3691.52"/>
    <n v="0.33"/>
    <n v="20"/>
    <n v="3691.52"/>
    <m/>
  </r>
  <r>
    <x v="2"/>
    <x v="1"/>
    <s v="003.029.980/0001-43"/>
    <x v="1"/>
    <s v="Digitado"/>
    <d v="2025-12-22T00:00:00"/>
    <x v="0"/>
    <n v="3691.53"/>
    <n v="0.33"/>
    <n v="20"/>
    <n v="3691.53"/>
    <m/>
  </r>
  <r>
    <x v="3"/>
    <x v="1"/>
    <s v="003.029.980/0001-43"/>
    <x v="1"/>
    <s v="Digitado"/>
    <d v="2026-01-21T00:00:00"/>
    <x v="0"/>
    <n v="3691.53"/>
    <m/>
    <m/>
    <n v="3691.53"/>
    <m/>
  </r>
  <r>
    <x v="4"/>
    <x v="2"/>
    <s v="075.967.331/0001-02"/>
    <x v="2"/>
    <s v="Digitado"/>
    <d v="2025-12-05T00:00:00"/>
    <x v="0"/>
    <n v="3871.85"/>
    <n v="0.33"/>
    <n v="20"/>
    <n v="3871.85"/>
    <m/>
  </r>
  <r>
    <x v="5"/>
    <x v="3"/>
    <s v="080.813.710/0001-70"/>
    <x v="1"/>
    <s v="Digitado"/>
    <d v="2025-12-03T00:00:00"/>
    <x v="0"/>
    <n v="3925.76"/>
    <n v="0.33"/>
    <n v="20"/>
    <n v="3925.76"/>
    <m/>
  </r>
  <r>
    <x v="6"/>
    <x v="4"/>
    <s v="033.490.042/0001-07"/>
    <x v="1"/>
    <s v="Digitado"/>
    <d v="2025-12-02T00:00:00"/>
    <x v="1"/>
    <n v="205.68"/>
    <n v="0.33"/>
    <n v="20"/>
    <n v="205.68"/>
    <m/>
  </r>
  <r>
    <x v="7"/>
    <x v="5"/>
    <s v="004.565.807/0001-22"/>
    <x v="1"/>
    <s v="Digitado"/>
    <d v="2025-12-02T00:00:00"/>
    <x v="1"/>
    <n v="1023.06"/>
    <n v="0.33"/>
    <n v="20"/>
    <n v="1023.06"/>
    <m/>
  </r>
  <r>
    <x v="8"/>
    <x v="6"/>
    <s v="087.548.814/0001-43"/>
    <x v="2"/>
    <s v="Digitado"/>
    <d v="2025-12-02T00:00:00"/>
    <x v="1"/>
    <n v="10934.8"/>
    <n v="0.33"/>
    <n v="20"/>
    <n v="10934.8"/>
    <m/>
  </r>
  <r>
    <x v="9"/>
    <x v="7"/>
    <s v="032.430.993/0001-28"/>
    <x v="1"/>
    <s v="Digitado"/>
    <d v="2025-12-02T00:00:00"/>
    <x v="1"/>
    <n v="16788.66"/>
    <n v="0.33"/>
    <n v="20"/>
    <n v="16788.66"/>
    <m/>
  </r>
  <r>
    <x v="10"/>
    <x v="8"/>
    <s v="079.130.514/0001-11"/>
    <x v="3"/>
    <s v="Digitado"/>
    <d v="2025-12-01T00:00:00"/>
    <x v="2"/>
    <n v="1071.8499999999999"/>
    <n v="1"/>
    <n v="2"/>
    <n v="1071.8499999999999"/>
    <m/>
  </r>
  <r>
    <x v="11"/>
    <x v="9"/>
    <s v="075.069.849/0001-10"/>
    <x v="2"/>
    <s v="Digitado"/>
    <d v="2025-12-01T00:00:00"/>
    <x v="2"/>
    <n v="1362.69"/>
    <n v="0.33"/>
    <n v="20"/>
    <n v="1362.69"/>
    <m/>
  </r>
  <r>
    <x v="12"/>
    <x v="10"/>
    <s v="080.143.548/0001-20"/>
    <x v="4"/>
    <s v="Digitado"/>
    <d v="2025-12-02T00:00:00"/>
    <x v="2"/>
    <n v="1851.36"/>
    <n v="0.33"/>
    <n v="20"/>
    <n v="1851.36"/>
    <m/>
  </r>
  <r>
    <x v="13"/>
    <x v="11"/>
    <s v="077.153.773/0001-32"/>
    <x v="5"/>
    <s v="Digitado"/>
    <d v="2025-11-30T00:00:00"/>
    <x v="2"/>
    <n v="130000"/>
    <n v="0.33"/>
    <n v="20"/>
    <n v="130000"/>
    <m/>
  </r>
  <r>
    <x v="14"/>
    <x v="12"/>
    <s v="072.459.373/0001-36"/>
    <x v="6"/>
    <s v="Digitado"/>
    <d v="2025-11-28T00:00:00"/>
    <x v="3"/>
    <n v="234.43"/>
    <n v="0.33"/>
    <n v="20"/>
    <n v="234.43"/>
    <m/>
  </r>
  <r>
    <x v="15"/>
    <x v="13"/>
    <s v="088.612.908/0001-05"/>
    <x v="6"/>
    <s v="Digitado"/>
    <d v="2025-11-28T00:00:00"/>
    <x v="3"/>
    <n v="480.18"/>
    <n v="0.33"/>
    <n v="20"/>
    <n v="480.18"/>
    <m/>
  </r>
  <r>
    <x v="16"/>
    <x v="14"/>
    <s v="055.837.579/0001-33"/>
    <x v="6"/>
    <s v="Digitado"/>
    <d v="2025-11-28T00:00:00"/>
    <x v="3"/>
    <n v="1634.15"/>
    <n v="0.33"/>
    <n v="20"/>
    <n v="1634.15"/>
    <m/>
  </r>
  <r>
    <x v="17"/>
    <x v="10"/>
    <s v="080.143.548/0001-20"/>
    <x v="4"/>
    <s v="Digitado"/>
    <d v="2025-12-16T00:00:00"/>
    <x v="3"/>
    <n v="1851.37"/>
    <n v="0.33"/>
    <n v="20"/>
    <n v="1851.37"/>
    <m/>
  </r>
  <r>
    <x v="18"/>
    <x v="15"/>
    <s v="076.831.635/0001-00"/>
    <x v="7"/>
    <s v="Digitado"/>
    <d v="2025-12-11T00:00:00"/>
    <x v="3"/>
    <n v="2220.33"/>
    <n v="0.33"/>
    <n v="2"/>
    <n v="2220.33"/>
    <m/>
  </r>
  <r>
    <x v="19"/>
    <x v="15"/>
    <s v="076.831.635/0001-00"/>
    <x v="8"/>
    <s v="Digitado"/>
    <d v="2025-12-10T00:00:00"/>
    <x v="3"/>
    <n v="3096.38"/>
    <n v="0.33"/>
    <n v="2"/>
    <n v="3096.38"/>
    <m/>
  </r>
  <r>
    <x v="20"/>
    <x v="15"/>
    <s v="076.831.635/0001-00"/>
    <x v="8"/>
    <s v="Digitado"/>
    <d v="2025-12-10T00:00:00"/>
    <x v="3"/>
    <n v="6630.3"/>
    <n v="0.33"/>
    <n v="2"/>
    <n v="6630.3"/>
    <m/>
  </r>
  <r>
    <x v="21"/>
    <x v="16"/>
    <s v="085.074.623/0001-61"/>
    <x v="0"/>
    <s v="Digitado"/>
    <d v="2025-11-27T00:00:00"/>
    <x v="4"/>
    <n v="2173.9"/>
    <n v="0.33"/>
    <n v="20"/>
    <n v="2173.9"/>
    <m/>
  </r>
  <r>
    <x v="22"/>
    <x v="17"/>
    <s v="091.062.497/0001-28"/>
    <x v="0"/>
    <s v="Digitado"/>
    <d v="2025-11-27T00:00:00"/>
    <x v="4"/>
    <n v="6794.26"/>
    <n v="0.33"/>
    <n v="20"/>
    <n v="6794.26"/>
    <m/>
  </r>
  <r>
    <x v="23"/>
    <x v="18"/>
    <s v="085.478.857/0001-74"/>
    <x v="9"/>
    <s v="Digitado"/>
    <d v="2025-11-26T00:00:00"/>
    <x v="5"/>
    <n v="214.5"/>
    <n v="0.33"/>
    <n v="20"/>
    <n v="214.5"/>
    <m/>
  </r>
  <r>
    <x v="24"/>
    <x v="18"/>
    <s v="085.478.857/0001-74"/>
    <x v="9"/>
    <s v="Digitado"/>
    <d v="2025-11-26T00:00:00"/>
    <x v="5"/>
    <n v="214.5"/>
    <n v="0.33"/>
    <n v="20"/>
    <n v="214.5"/>
    <m/>
  </r>
  <r>
    <x v="25"/>
    <x v="18"/>
    <s v="085.478.857/0001-74"/>
    <x v="9"/>
    <s v="Digitado"/>
    <d v="2025-11-26T00:00:00"/>
    <x v="5"/>
    <n v="2467.9"/>
    <n v="0.33"/>
    <n v="20"/>
    <n v="2467.9"/>
    <m/>
  </r>
  <r>
    <x v="26"/>
    <x v="19"/>
    <s v="025.760.786/0001-76"/>
    <x v="4"/>
    <s v="Digitado"/>
    <d v="2025-11-26T00:00:00"/>
    <x v="5"/>
    <n v="3370.43"/>
    <n v="0.33"/>
    <n v="20"/>
    <n v="3370.43"/>
    <m/>
  </r>
  <r>
    <x v="27"/>
    <x v="20"/>
    <s v="004.661.819/0001-50"/>
    <x v="9"/>
    <s v="Digitado"/>
    <d v="2025-11-25T00:00:00"/>
    <x v="6"/>
    <n v="96.43"/>
    <n v="0.33"/>
    <n v="20"/>
    <n v="96.43"/>
    <m/>
  </r>
  <r>
    <x v="28"/>
    <x v="21"/>
    <s v="030.746.945/0001-18"/>
    <x v="4"/>
    <s v="Digitado"/>
    <d v="2025-11-26T00:00:00"/>
    <x v="6"/>
    <n v="264.69"/>
    <n v="0.33"/>
    <n v="20"/>
    <n v="264.69"/>
    <m/>
  </r>
  <r>
    <x v="29"/>
    <x v="22"/>
    <s v="010.353.009/0001-30"/>
    <x v="10"/>
    <s v="Digitado"/>
    <d v="2025-11-25T00:00:00"/>
    <x v="6"/>
    <n v="1060.21"/>
    <n v="0.33"/>
    <n v="2"/>
    <n v="1060.21"/>
    <m/>
  </r>
  <r>
    <x v="30"/>
    <x v="10"/>
    <s v="080.143.548/0001-20"/>
    <x v="4"/>
    <s v="Digitado"/>
    <d v="2025-11-26T00:00:00"/>
    <x v="6"/>
    <n v="1851.36"/>
    <n v="0.33"/>
    <n v="20"/>
    <n v="1851.36"/>
    <m/>
  </r>
  <r>
    <x v="31"/>
    <x v="23"/>
    <s v="008.731.856/0001-49"/>
    <x v="7"/>
    <s v="Digitado"/>
    <d v="2025-11-24T00:00:00"/>
    <x v="7"/>
    <n v="892.77"/>
    <n v="0.33"/>
    <n v="2"/>
    <n v="892.77"/>
    <m/>
  </r>
  <r>
    <x v="32"/>
    <x v="24"/>
    <s v="012.538.950/0001-53"/>
    <x v="3"/>
    <s v="Digitado"/>
    <d v="2025-11-24T00:00:00"/>
    <x v="7"/>
    <n v="31500"/>
    <n v="0.33"/>
    <n v="2"/>
    <n v="31500"/>
    <m/>
  </r>
  <r>
    <x v="33"/>
    <x v="25"/>
    <s v="087.215.281/0001-88"/>
    <x v="8"/>
    <s v="Digitado"/>
    <d v="2025-11-21T00:00:00"/>
    <x v="8"/>
    <n v="321.14"/>
    <n v="0.33"/>
    <n v="2"/>
    <n v="321.14"/>
    <m/>
  </r>
  <r>
    <x v="34"/>
    <x v="26"/>
    <s v="009.228.789/0001-07"/>
    <x v="10"/>
    <s v="Digitado"/>
    <d v="2025-11-20T00:00:00"/>
    <x v="8"/>
    <n v="651.04999999999995"/>
    <n v="0.33"/>
    <n v="2"/>
    <n v="651.04999999999995"/>
    <m/>
  </r>
  <r>
    <x v="35"/>
    <x v="27"/>
    <s v="075.400.903/0001-69"/>
    <x v="11"/>
    <s v="Digitado"/>
    <d v="2025-11-20T00:00:00"/>
    <x v="8"/>
    <n v="1767.63"/>
    <n v="0.33"/>
    <n v="20"/>
    <n v="1767.63"/>
    <m/>
  </r>
  <r>
    <x v="36"/>
    <x v="27"/>
    <s v="075.400.903/0001-69"/>
    <x v="11"/>
    <s v="Digitado"/>
    <d v="2025-11-20T00:00:00"/>
    <x v="8"/>
    <n v="5984.39"/>
    <n v="0.33"/>
    <n v="20"/>
    <n v="5984.39"/>
    <m/>
  </r>
  <r>
    <x v="37"/>
    <x v="28"/>
    <s v="010.239.332/0001-87"/>
    <x v="3"/>
    <s v="Digitado"/>
    <d v="2025-11-19T00:00:00"/>
    <x v="9"/>
    <n v="315"/>
    <n v="0.33"/>
    <n v="2"/>
    <n v="315"/>
    <m/>
  </r>
  <r>
    <x v="38"/>
    <x v="29"/>
    <s v="001.919.590/0001-13"/>
    <x v="10"/>
    <s v="Digitado"/>
    <d v="2025-11-19T00:00:00"/>
    <x v="9"/>
    <n v="710.53"/>
    <n v="0.33"/>
    <n v="2"/>
    <n v="710.53"/>
    <m/>
  </r>
  <r>
    <x v="39"/>
    <x v="30"/>
    <s v="025.474.875/0001-56"/>
    <x v="11"/>
    <s v="Digitado"/>
    <d v="2025-11-21T00:00:00"/>
    <x v="9"/>
    <n v="893.09"/>
    <n v="0.33"/>
    <n v="20"/>
    <n v="893.09"/>
    <m/>
  </r>
  <r>
    <x v="40"/>
    <x v="31"/>
    <s v="007.668.649/0001-24"/>
    <x v="12"/>
    <s v="Digitado"/>
    <d v="2025-11-20T00:00:00"/>
    <x v="9"/>
    <n v="964.29"/>
    <n v="0.33"/>
    <n v="20"/>
    <n v="964.29"/>
    <m/>
  </r>
  <r>
    <x v="41"/>
    <x v="32"/>
    <s v="033.385.344/0001-15"/>
    <x v="3"/>
    <s v="Digitado"/>
    <d v="2025-11-18T00:00:00"/>
    <x v="9"/>
    <n v="2002.43"/>
    <n v="0.33"/>
    <n v="2"/>
    <n v="2049.09"/>
    <n v="46.66"/>
  </r>
  <r>
    <x v="42"/>
    <x v="33"/>
    <s v="001.611.622/0001-19"/>
    <x v="10"/>
    <s v="Digitado"/>
    <d v="2025-11-19T00:00:00"/>
    <x v="9"/>
    <n v="2104.9"/>
    <n v="0.33"/>
    <n v="2"/>
    <n v="2104.9"/>
    <m/>
  </r>
  <r>
    <x v="43"/>
    <x v="34"/>
    <s v="000.912.882/0001-61"/>
    <x v="10"/>
    <s v="Digitado"/>
    <d v="2025-11-19T00:00:00"/>
    <x v="9"/>
    <n v="9373.7800000000007"/>
    <n v="0.33"/>
    <n v="2"/>
    <n v="9373.7800000000007"/>
    <m/>
  </r>
  <r>
    <x v="44"/>
    <x v="30"/>
    <s v="025.474.875/0001-56"/>
    <x v="11"/>
    <s v="Digitado"/>
    <d v="2025-11-18T00:00:00"/>
    <x v="10"/>
    <n v="900.58"/>
    <n v="0.33"/>
    <n v="2"/>
    <n v="900.58"/>
    <m/>
  </r>
  <r>
    <x v="45"/>
    <x v="3"/>
    <s v="080.813.710/0001-70"/>
    <x v="11"/>
    <s v="Digitado"/>
    <d v="2025-11-18T00:00:00"/>
    <x v="10"/>
    <n v="1048.8"/>
    <n v="0.33"/>
    <n v="2"/>
    <n v="1048.8"/>
    <m/>
  </r>
  <r>
    <x v="46"/>
    <x v="22"/>
    <s v="010.353.009/0001-30"/>
    <x v="10"/>
    <s v="Digitado"/>
    <d v="2025-11-18T00:00:00"/>
    <x v="10"/>
    <n v="1060.21"/>
    <n v="0.33"/>
    <n v="2"/>
    <n v="1060.21"/>
    <m/>
  </r>
  <r>
    <x v="47"/>
    <x v="35"/>
    <s v="006.368.547/0001-20"/>
    <x v="8"/>
    <s v="Digitado"/>
    <d v="2025-11-18T00:00:00"/>
    <x v="10"/>
    <n v="1065.6400000000001"/>
    <n v="0.33"/>
    <n v="2"/>
    <n v="1065.6400000000001"/>
    <m/>
  </r>
  <r>
    <x v="48"/>
    <x v="6"/>
    <s v="087.548.814/0001-43"/>
    <x v="8"/>
    <s v="Digitado"/>
    <d v="2025-11-18T00:00:00"/>
    <x v="10"/>
    <n v="5964.53"/>
    <n v="0.33"/>
    <n v="2"/>
    <n v="5964.53"/>
    <m/>
  </r>
  <r>
    <x v="49"/>
    <x v="36"/>
    <s v="057.268.776/0001-04"/>
    <x v="8"/>
    <s v="Digitado"/>
    <d v="2025-11-18T00:00:00"/>
    <x v="11"/>
    <n v="214.1"/>
    <n v="0.33"/>
    <n v="2"/>
    <n v="214.1"/>
    <m/>
  </r>
  <r>
    <x v="50"/>
    <x v="37"/>
    <s v="072.144.066/0001-66"/>
    <x v="12"/>
    <s v="Digitado"/>
    <d v="2025-11-14T00:00:00"/>
    <x v="12"/>
    <n v="2418.88"/>
    <n v="0.33"/>
    <n v="2"/>
    <n v="2418.88"/>
    <m/>
  </r>
  <r>
    <x v="51"/>
    <x v="38"/>
    <s v="004.095.330/0001-69"/>
    <x v="12"/>
    <s v="Digitado"/>
    <d v="2025-11-14T00:00:00"/>
    <x v="12"/>
    <n v="3041.8"/>
    <n v="0.33"/>
    <n v="2"/>
    <n v="3041.8"/>
    <m/>
  </r>
  <r>
    <x v="52"/>
    <x v="39"/>
    <s v="000.373.732/0001-27"/>
    <x v="10"/>
    <s v="Digitado"/>
    <d v="2025-11-13T00:00:00"/>
    <x v="13"/>
    <n v="531.54999999999995"/>
    <n v="0.33"/>
    <n v="2"/>
    <n v="531.54999999999995"/>
    <m/>
  </r>
  <r>
    <x v="53"/>
    <x v="40"/>
    <s v="021.473.590/0001-40"/>
    <x v="10"/>
    <s v="Digitado"/>
    <d v="2025-11-14T00:00:00"/>
    <x v="13"/>
    <n v="563.72"/>
    <n v="0.33"/>
    <n v="2"/>
    <n v="563.72"/>
    <m/>
  </r>
  <r>
    <x v="54"/>
    <x v="5"/>
    <s v="004.565.807/0001-22"/>
    <x v="12"/>
    <s v="Digitado"/>
    <d v="2025-11-13T00:00:00"/>
    <x v="13"/>
    <n v="1048.78"/>
    <n v="0.33"/>
    <n v="2"/>
    <n v="1048.78"/>
    <m/>
  </r>
  <r>
    <x v="55"/>
    <x v="41"/>
    <s v="076.622.968/0001-11"/>
    <x v="3"/>
    <s v="Digitado"/>
    <d v="2025-11-11T00:00:00"/>
    <x v="14"/>
    <n v="484.81"/>
    <n v="0.33"/>
    <n v="2"/>
    <n v="484.81"/>
    <m/>
  </r>
  <r>
    <x v="56"/>
    <x v="42"/>
    <s v="089.042.642/0001-67"/>
    <x v="3"/>
    <s v="Digitado"/>
    <d v="2025-11-11T00:00:00"/>
    <x v="14"/>
    <n v="661.58"/>
    <n v="0.33"/>
    <n v="2"/>
    <n v="661.5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DB8D3-90E0-4DD9-82C2-7793C84D964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compact="0" compactData="0" multipleFieldFilters="0">
  <location ref="A3:D76" firstHeaderRow="1" firstDataRow="1" firstDataCol="3" rowPageCount="1" colPageCount="1"/>
  <pivotFields count="14">
    <pivotField axis="axisRow" compact="0" outline="0" subtotalTop="0" showAll="0">
      <items count="58">
        <item x="13"/>
        <item x="51"/>
        <item x="32"/>
        <item x="25"/>
        <item x="27"/>
        <item x="55"/>
        <item x="50"/>
        <item x="23"/>
        <item x="24"/>
        <item x="52"/>
        <item x="56"/>
        <item x="54"/>
        <item x="47"/>
        <item x="53"/>
        <item x="45"/>
        <item x="30"/>
        <item x="12"/>
        <item x="17"/>
        <item x="49"/>
        <item x="44"/>
        <item x="48"/>
        <item x="2"/>
        <item x="3"/>
        <item x="21"/>
        <item x="35"/>
        <item x="40"/>
        <item x="36"/>
        <item x="39"/>
        <item x="33"/>
        <item x="31"/>
        <item x="26"/>
        <item x="28"/>
        <item x="22"/>
        <item x="15"/>
        <item x="16"/>
        <item x="14"/>
        <item x="10"/>
        <item x="11"/>
        <item x="6"/>
        <item x="1"/>
        <item x="8"/>
        <item x="7"/>
        <item x="9"/>
        <item x="0"/>
        <item x="5"/>
        <item x="34"/>
        <item x="20"/>
        <item x="19"/>
        <item x="18"/>
        <item x="37"/>
        <item x="46"/>
        <item x="29"/>
        <item x="38"/>
        <item x="42"/>
        <item x="43"/>
        <item x="41"/>
        <item x="4"/>
        <item t="default"/>
      </items>
    </pivotField>
    <pivotField axis="axisRow" compact="0" outline="0" subtotalTop="0" showAll="0" defaultSubtotal="0">
      <items count="43">
        <item x="21"/>
        <item x="23"/>
        <item x="39"/>
        <item x="38"/>
        <item x="11"/>
        <item x="33"/>
        <item x="40"/>
        <item x="3"/>
        <item x="32"/>
        <item x="9"/>
        <item x="29"/>
        <item x="16"/>
        <item x="10"/>
        <item x="34"/>
        <item x="12"/>
        <item x="36"/>
        <item x="8"/>
        <item x="35"/>
        <item x="37"/>
        <item x="15"/>
        <item x="22"/>
        <item x="14"/>
        <item x="0"/>
        <item x="2"/>
        <item x="19"/>
        <item x="28"/>
        <item x="42"/>
        <item x="20"/>
        <item x="27"/>
        <item x="6"/>
        <item x="1"/>
        <item x="17"/>
        <item x="24"/>
        <item x="18"/>
        <item x="41"/>
        <item x="31"/>
        <item x="7"/>
        <item x="13"/>
        <item x="5"/>
        <item x="4"/>
        <item x="25"/>
        <item x="30"/>
        <item x="26"/>
      </items>
    </pivotField>
    <pivotField compact="0" outline="0" subtotalTop="0" showAll="0"/>
    <pivotField compact="0" numFmtId="14" outline="0" subtotalTop="0" showAll="0">
      <items count="14">
        <item x="3"/>
        <item x="10"/>
        <item x="12"/>
        <item x="8"/>
        <item x="11"/>
        <item x="7"/>
        <item x="4"/>
        <item x="9"/>
        <item x="5"/>
        <item x="0"/>
        <item x="6"/>
        <item x="2"/>
        <item x="1"/>
        <item t="default"/>
      </items>
    </pivotField>
    <pivotField compact="0" outline="0" subtotalTop="0" showAll="0"/>
    <pivotField compact="0" numFmtId="14" outline="0" subtotalTop="0" showAll="0"/>
    <pivotField axis="axisRow" compact="0" outline="0" subtotalTop="0" showAll="0">
      <items count="31"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m="1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numFmtId="44" outline="0" subtotalTop="0" showAll="0"/>
    <pivotField compact="0" outline="0" subtotalTop="0" showAll="0"/>
    <pivotField compact="0" outline="0" subtotalTop="0" showAll="0"/>
    <pivotField dataField="1" compact="0" numFmtId="44" outline="0" subtotalTop="0" showAll="0"/>
    <pivotField compact="0" outline="0" subtotalTop="0" showAll="0"/>
    <pivotField axis="axisPage"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sd="0" x="11"/>
        <item x="12"/>
        <item x="13"/>
        <item t="default"/>
      </items>
    </pivotField>
  </pivotFields>
  <rowFields count="3">
    <field x="6"/>
    <field x="1"/>
    <field x="0"/>
  </rowFields>
  <rowItems count="73">
    <i>
      <x v="15"/>
      <x v="7"/>
      <x v="44"/>
    </i>
    <i r="1">
      <x v="22"/>
      <x v="43"/>
    </i>
    <i r="1">
      <x v="23"/>
      <x v="56"/>
    </i>
    <i r="1">
      <x v="30"/>
      <x v="21"/>
    </i>
    <i r="2">
      <x v="22"/>
    </i>
    <i r="2">
      <x v="39"/>
    </i>
    <i t="default">
      <x v="15"/>
    </i>
    <i>
      <x v="16"/>
      <x v="29"/>
      <x v="40"/>
    </i>
    <i r="1">
      <x v="36"/>
      <x v="42"/>
    </i>
    <i r="1">
      <x v="38"/>
      <x v="41"/>
    </i>
    <i r="1">
      <x v="39"/>
      <x v="38"/>
    </i>
    <i t="default">
      <x v="16"/>
    </i>
    <i>
      <x v="17"/>
      <x v="4"/>
      <x/>
    </i>
    <i r="1">
      <x v="9"/>
      <x v="37"/>
    </i>
    <i r="1">
      <x v="12"/>
      <x v="16"/>
    </i>
    <i r="1">
      <x v="16"/>
      <x v="36"/>
    </i>
    <i t="default">
      <x v="17"/>
    </i>
    <i>
      <x v="18"/>
      <x v="12"/>
      <x v="17"/>
    </i>
    <i r="1">
      <x v="14"/>
      <x v="35"/>
    </i>
    <i r="1">
      <x v="19"/>
      <x v="46"/>
    </i>
    <i r="2">
      <x v="47"/>
    </i>
    <i r="2">
      <x v="48"/>
    </i>
    <i r="1">
      <x v="21"/>
      <x v="34"/>
    </i>
    <i r="1">
      <x v="37"/>
      <x v="33"/>
    </i>
    <i t="default">
      <x v="18"/>
    </i>
    <i>
      <x v="19"/>
      <x v="11"/>
      <x v="23"/>
    </i>
    <i r="1">
      <x v="31"/>
      <x v="32"/>
    </i>
    <i t="default">
      <x v="19"/>
    </i>
    <i>
      <x v="20"/>
      <x v="24"/>
      <x v="30"/>
    </i>
    <i r="1">
      <x v="33"/>
      <x v="3"/>
    </i>
    <i r="2">
      <x v="7"/>
    </i>
    <i r="2">
      <x v="8"/>
    </i>
    <i t="default">
      <x v="20"/>
    </i>
    <i>
      <x v="21"/>
      <x/>
      <x v="31"/>
    </i>
    <i r="1">
      <x v="12"/>
      <x v="15"/>
    </i>
    <i r="1">
      <x v="20"/>
      <x v="51"/>
    </i>
    <i r="1">
      <x v="27"/>
      <x v="4"/>
    </i>
    <i t="default">
      <x v="21"/>
    </i>
    <i>
      <x v="22"/>
      <x v="1"/>
      <x v="29"/>
    </i>
    <i r="1">
      <x v="32"/>
      <x v="2"/>
    </i>
    <i t="default">
      <x v="22"/>
    </i>
    <i>
      <x v="23"/>
      <x v="28"/>
      <x v="24"/>
    </i>
    <i r="2">
      <x v="26"/>
    </i>
    <i r="1">
      <x v="40"/>
      <x v="28"/>
    </i>
    <i r="1">
      <x v="42"/>
      <x v="45"/>
    </i>
    <i t="default">
      <x v="23"/>
    </i>
    <i>
      <x v="24"/>
      <x v="5"/>
      <x v="53"/>
    </i>
    <i r="1">
      <x v="8"/>
      <x v="55"/>
    </i>
    <i r="1">
      <x v="10"/>
      <x v="52"/>
    </i>
    <i r="1">
      <x v="13"/>
      <x v="54"/>
    </i>
    <i r="1">
      <x v="25"/>
      <x v="49"/>
    </i>
    <i r="1">
      <x v="35"/>
      <x v="25"/>
    </i>
    <i r="1">
      <x v="41"/>
      <x v="27"/>
    </i>
    <i t="default">
      <x v="24"/>
    </i>
    <i>
      <x v="25"/>
      <x v="7"/>
      <x v="14"/>
    </i>
    <i r="1">
      <x v="17"/>
      <x v="12"/>
    </i>
    <i r="1">
      <x v="20"/>
      <x v="50"/>
    </i>
    <i r="1">
      <x v="29"/>
      <x v="20"/>
    </i>
    <i r="1">
      <x v="41"/>
      <x v="19"/>
    </i>
    <i t="default">
      <x v="25"/>
    </i>
    <i>
      <x v="26"/>
      <x v="15"/>
      <x v="18"/>
    </i>
    <i t="default">
      <x v="26"/>
    </i>
    <i>
      <x v="27"/>
      <x v="3"/>
      <x v="1"/>
    </i>
    <i r="1">
      <x v="18"/>
      <x v="6"/>
    </i>
    <i t="default">
      <x v="27"/>
    </i>
    <i>
      <x v="28"/>
      <x v="2"/>
      <x v="9"/>
    </i>
    <i r="1">
      <x v="6"/>
      <x v="13"/>
    </i>
    <i r="1">
      <x v="38"/>
      <x v="11"/>
    </i>
    <i t="default">
      <x v="28"/>
    </i>
    <i>
      <x v="29"/>
      <x v="26"/>
      <x v="10"/>
    </i>
    <i r="1">
      <x v="34"/>
      <x v="5"/>
    </i>
    <i t="default">
      <x v="29"/>
    </i>
    <i t="grand">
      <x/>
    </i>
  </rowItems>
  <colItems count="1">
    <i/>
  </colItems>
  <pageFields count="1">
    <pageField fld="12" hier="-1"/>
  </pageFields>
  <dataFields count="1">
    <dataField name="Soma de Valor Pago" fld="10" baseField="0" baseItem="0" numFmtId="44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DCF31-3D06-4E59-B082-B3E6830608BD}" name="Tabela2" displayName="Tabela2" ref="A1:I58" totalsRowShown="0">
  <autoFilter ref="A1:I58" xr:uid="{6EBDCF31-3D06-4E59-B082-B3E6830608BD}"/>
  <tableColumns count="9">
    <tableColumn id="1" xr3:uid="{89D3B450-3C41-428F-A9B8-D34BFA159531}" name="Nº Documento" dataDxfId="5"/>
    <tableColumn id="4" xr3:uid="{55E15FF3-66AA-4EE2-A375-07F1059678EE}" name="Ordem" dataDxfId="0"/>
    <tableColumn id="2" xr3:uid="{02E3D34B-24AE-4C8F-B8B2-74B6C8942BE0}" name="Nome Pagador"/>
    <tableColumn id="15" xr3:uid="{4F59A732-094C-4F75-B1E2-887FD791597E}" name="CNPJ"/>
    <tableColumn id="5" xr3:uid="{B6B218A0-6AFF-4589-94D2-E59EAF6B46A0}" name="Data Emissão" dataDxfId="4"/>
    <tableColumn id="8" xr3:uid="{D3366ABE-935D-4EB3-B4CC-7A667EE92F4C}" name="Data Vencimento" dataDxfId="3"/>
    <tableColumn id="9" xr3:uid="{8384A1C2-ADD9-4331-8176-8DDFB6E8F12E}" name="Dt. Crédito" dataDxfId="2"/>
    <tableColumn id="10" xr3:uid="{8BCDAF91-29A2-436F-BADA-A72E948FB684}" name="Valor Doc." dataCellStyle="Moeda"/>
    <tableColumn id="3" xr3:uid="{0E7F8CF3-D45D-4791-B2BE-C33BEABEF7E6}" name="PLANO DE CONTA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4A8A-AA39-4C47-8CB3-9FB068282562}">
  <sheetPr>
    <pageSetUpPr fitToPage="1"/>
  </sheetPr>
  <dimension ref="A1:D76"/>
  <sheetViews>
    <sheetView zoomScale="160" zoomScaleNormal="160" workbookViewId="0">
      <selection activeCell="B7" sqref="B7:B9"/>
    </sheetView>
  </sheetViews>
  <sheetFormatPr defaultRowHeight="15" x14ac:dyDescent="0.25"/>
  <cols>
    <col min="1" max="1" width="15.42578125" bestFit="1" customWidth="1"/>
    <col min="2" max="2" width="51.7109375" bestFit="1" customWidth="1"/>
    <col min="3" max="3" width="18.5703125" bestFit="1" customWidth="1"/>
    <col min="4" max="4" width="18.85546875" bestFit="1" customWidth="1"/>
  </cols>
  <sheetData>
    <row r="1" spans="1:4" x14ac:dyDescent="0.25">
      <c r="A1" s="3" t="s">
        <v>105</v>
      </c>
      <c r="B1" t="s">
        <v>106</v>
      </c>
    </row>
    <row r="3" spans="1:4" x14ac:dyDescent="0.25">
      <c r="A3" s="6" t="s">
        <v>2</v>
      </c>
      <c r="B3" s="6" t="s">
        <v>1</v>
      </c>
      <c r="C3" s="6" t="s">
        <v>0</v>
      </c>
      <c r="D3" s="7" t="s">
        <v>104</v>
      </c>
    </row>
    <row r="4" spans="1:4" x14ac:dyDescent="0.25">
      <c r="A4" s="12">
        <v>45995</v>
      </c>
      <c r="B4" s="9" t="s">
        <v>13</v>
      </c>
      <c r="C4" s="9" t="s">
        <v>12</v>
      </c>
      <c r="D4" s="5">
        <v>3925.76</v>
      </c>
    </row>
    <row r="5" spans="1:4" x14ac:dyDescent="0.25">
      <c r="A5" s="11"/>
      <c r="B5" s="9" t="s">
        <v>5</v>
      </c>
      <c r="C5" s="9" t="s">
        <v>4</v>
      </c>
      <c r="D5" s="5">
        <v>750.45</v>
      </c>
    </row>
    <row r="6" spans="1:4" x14ac:dyDescent="0.25">
      <c r="A6" s="11"/>
      <c r="B6" s="9" t="s">
        <v>11</v>
      </c>
      <c r="C6" s="9" t="s">
        <v>10</v>
      </c>
      <c r="D6" s="5">
        <v>3871.85</v>
      </c>
    </row>
    <row r="7" spans="1:4" x14ac:dyDescent="0.25">
      <c r="A7" s="11"/>
      <c r="B7" s="10" t="s">
        <v>7</v>
      </c>
      <c r="C7" s="9" t="s">
        <v>8</v>
      </c>
      <c r="D7" s="5">
        <v>3691.53</v>
      </c>
    </row>
    <row r="8" spans="1:4" x14ac:dyDescent="0.25">
      <c r="A8" s="11"/>
      <c r="B8" s="11"/>
      <c r="C8" s="9" t="s">
        <v>9</v>
      </c>
      <c r="D8" s="5">
        <v>3691.53</v>
      </c>
    </row>
    <row r="9" spans="1:4" x14ac:dyDescent="0.25">
      <c r="A9" s="11"/>
      <c r="B9" s="11"/>
      <c r="C9" s="9" t="s">
        <v>6</v>
      </c>
      <c r="D9" s="5">
        <v>3691.52</v>
      </c>
    </row>
    <row r="10" spans="1:4" x14ac:dyDescent="0.25">
      <c r="A10" s="10" t="s">
        <v>107</v>
      </c>
      <c r="B10" s="11"/>
      <c r="C10" s="11"/>
      <c r="D10" s="5">
        <v>19622.64</v>
      </c>
    </row>
    <row r="11" spans="1:4" x14ac:dyDescent="0.25">
      <c r="A11" s="12">
        <v>45994</v>
      </c>
      <c r="B11" s="9" t="s">
        <v>19</v>
      </c>
      <c r="C11" s="9" t="s">
        <v>18</v>
      </c>
      <c r="D11" s="5">
        <v>10934.8</v>
      </c>
    </row>
    <row r="12" spans="1:4" x14ac:dyDescent="0.25">
      <c r="A12" s="11"/>
      <c r="B12" s="9" t="s">
        <v>21</v>
      </c>
      <c r="C12" s="9" t="s">
        <v>20</v>
      </c>
      <c r="D12" s="5">
        <v>16788.66</v>
      </c>
    </row>
    <row r="13" spans="1:4" x14ac:dyDescent="0.25">
      <c r="A13" s="11"/>
      <c r="B13" s="9" t="s">
        <v>17</v>
      </c>
      <c r="C13" s="9" t="s">
        <v>16</v>
      </c>
      <c r="D13" s="5">
        <v>1023.06</v>
      </c>
    </row>
    <row r="14" spans="1:4" x14ac:dyDescent="0.25">
      <c r="A14" s="11"/>
      <c r="B14" s="9" t="s">
        <v>15</v>
      </c>
      <c r="C14" s="9" t="s">
        <v>14</v>
      </c>
      <c r="D14" s="5">
        <v>205.68</v>
      </c>
    </row>
    <row r="15" spans="1:4" x14ac:dyDescent="0.25">
      <c r="A15" s="10" t="s">
        <v>108</v>
      </c>
      <c r="B15" s="11"/>
      <c r="C15" s="11"/>
      <c r="D15" s="5">
        <v>28952.2</v>
      </c>
    </row>
    <row r="16" spans="1:4" x14ac:dyDescent="0.25">
      <c r="A16" s="12">
        <v>45993</v>
      </c>
      <c r="B16" s="9" t="s">
        <v>28</v>
      </c>
      <c r="C16" s="9">
        <v>931001</v>
      </c>
      <c r="D16" s="5">
        <v>130000</v>
      </c>
    </row>
    <row r="17" spans="1:4" x14ac:dyDescent="0.25">
      <c r="A17" s="11"/>
      <c r="B17" s="9" t="s">
        <v>25</v>
      </c>
      <c r="C17" s="9" t="s">
        <v>24</v>
      </c>
      <c r="D17" s="5">
        <v>1362.69</v>
      </c>
    </row>
    <row r="18" spans="1:4" x14ac:dyDescent="0.25">
      <c r="A18" s="11"/>
      <c r="B18" s="9" t="s">
        <v>27</v>
      </c>
      <c r="C18" s="9" t="s">
        <v>26</v>
      </c>
      <c r="D18" s="5">
        <v>1851.36</v>
      </c>
    </row>
    <row r="19" spans="1:4" x14ac:dyDescent="0.25">
      <c r="A19" s="11"/>
      <c r="B19" s="9" t="s">
        <v>23</v>
      </c>
      <c r="C19" s="9" t="s">
        <v>22</v>
      </c>
      <c r="D19" s="5">
        <v>1071.8499999999999</v>
      </c>
    </row>
    <row r="20" spans="1:4" x14ac:dyDescent="0.25">
      <c r="A20" s="10" t="s">
        <v>109</v>
      </c>
      <c r="B20" s="11"/>
      <c r="C20" s="11"/>
      <c r="D20" s="5">
        <v>134285.9</v>
      </c>
    </row>
    <row r="21" spans="1:4" x14ac:dyDescent="0.25">
      <c r="A21" s="12">
        <v>45992</v>
      </c>
      <c r="B21" s="9" t="s">
        <v>27</v>
      </c>
      <c r="C21" s="9" t="s">
        <v>35</v>
      </c>
      <c r="D21" s="5">
        <v>1851.37</v>
      </c>
    </row>
    <row r="22" spans="1:4" x14ac:dyDescent="0.25">
      <c r="A22" s="11"/>
      <c r="B22" s="9" t="s">
        <v>30</v>
      </c>
      <c r="C22" s="9" t="s">
        <v>29</v>
      </c>
      <c r="D22" s="5">
        <v>234.43</v>
      </c>
    </row>
    <row r="23" spans="1:4" x14ac:dyDescent="0.25">
      <c r="A23" s="11"/>
      <c r="B23" s="10" t="s">
        <v>37</v>
      </c>
      <c r="C23" s="9" t="s">
        <v>39</v>
      </c>
      <c r="D23" s="5">
        <v>6630.3</v>
      </c>
    </row>
    <row r="24" spans="1:4" x14ac:dyDescent="0.25">
      <c r="A24" s="11"/>
      <c r="B24" s="11"/>
      <c r="C24" s="9" t="s">
        <v>38</v>
      </c>
      <c r="D24" s="5">
        <v>3096.38</v>
      </c>
    </row>
    <row r="25" spans="1:4" x14ac:dyDescent="0.25">
      <c r="A25" s="11"/>
      <c r="B25" s="11"/>
      <c r="C25" s="9" t="s">
        <v>36</v>
      </c>
      <c r="D25" s="5">
        <v>2220.33</v>
      </c>
    </row>
    <row r="26" spans="1:4" x14ac:dyDescent="0.25">
      <c r="A26" s="11"/>
      <c r="B26" s="9" t="s">
        <v>34</v>
      </c>
      <c r="C26" s="9" t="s">
        <v>33</v>
      </c>
      <c r="D26" s="5">
        <v>1634.15</v>
      </c>
    </row>
    <row r="27" spans="1:4" x14ac:dyDescent="0.25">
      <c r="A27" s="11"/>
      <c r="B27" s="9" t="s">
        <v>32</v>
      </c>
      <c r="C27" s="9" t="s">
        <v>31</v>
      </c>
      <c r="D27" s="5">
        <v>480.18</v>
      </c>
    </row>
    <row r="28" spans="1:4" x14ac:dyDescent="0.25">
      <c r="A28" s="10" t="s">
        <v>110</v>
      </c>
      <c r="B28" s="11"/>
      <c r="C28" s="11"/>
      <c r="D28" s="5">
        <v>16147.14</v>
      </c>
    </row>
    <row r="29" spans="1:4" x14ac:dyDescent="0.25">
      <c r="A29" s="12">
        <v>45989</v>
      </c>
      <c r="B29" s="9" t="s">
        <v>41</v>
      </c>
      <c r="C29" s="9" t="s">
        <v>40</v>
      </c>
      <c r="D29" s="5">
        <v>2173.9</v>
      </c>
    </row>
    <row r="30" spans="1:4" x14ac:dyDescent="0.25">
      <c r="A30" s="11"/>
      <c r="B30" s="9" t="s">
        <v>43</v>
      </c>
      <c r="C30" s="9" t="s">
        <v>42</v>
      </c>
      <c r="D30" s="5">
        <v>6794.26</v>
      </c>
    </row>
    <row r="31" spans="1:4" x14ac:dyDescent="0.25">
      <c r="A31" s="10" t="s">
        <v>111</v>
      </c>
      <c r="B31" s="11"/>
      <c r="C31" s="11"/>
      <c r="D31" s="5">
        <v>8968.16</v>
      </c>
    </row>
    <row r="32" spans="1:4" x14ac:dyDescent="0.25">
      <c r="A32" s="12">
        <v>45988</v>
      </c>
      <c r="B32" s="9" t="s">
        <v>49</v>
      </c>
      <c r="C32" s="9" t="s">
        <v>48</v>
      </c>
      <c r="D32" s="5">
        <v>3370.43</v>
      </c>
    </row>
    <row r="33" spans="1:4" x14ac:dyDescent="0.25">
      <c r="A33" s="11"/>
      <c r="B33" s="10" t="s">
        <v>45</v>
      </c>
      <c r="C33" s="9" t="s">
        <v>47</v>
      </c>
      <c r="D33" s="5">
        <v>2467.9</v>
      </c>
    </row>
    <row r="34" spans="1:4" x14ac:dyDescent="0.25">
      <c r="A34" s="11"/>
      <c r="B34" s="11"/>
      <c r="C34" s="9" t="s">
        <v>44</v>
      </c>
      <c r="D34" s="5">
        <v>214.5</v>
      </c>
    </row>
    <row r="35" spans="1:4" x14ac:dyDescent="0.25">
      <c r="A35" s="11"/>
      <c r="B35" s="11"/>
      <c r="C35" s="9" t="s">
        <v>46</v>
      </c>
      <c r="D35" s="5">
        <v>214.5</v>
      </c>
    </row>
    <row r="36" spans="1:4" x14ac:dyDescent="0.25">
      <c r="A36" s="10" t="s">
        <v>112</v>
      </c>
      <c r="B36" s="11"/>
      <c r="C36" s="11"/>
      <c r="D36" s="5">
        <v>6267.33</v>
      </c>
    </row>
    <row r="37" spans="1:4" x14ac:dyDescent="0.25">
      <c r="A37" s="12">
        <v>45987</v>
      </c>
      <c r="B37" s="9" t="s">
        <v>53</v>
      </c>
      <c r="C37" s="9" t="s">
        <v>52</v>
      </c>
      <c r="D37" s="5">
        <v>264.69</v>
      </c>
    </row>
    <row r="38" spans="1:4" x14ac:dyDescent="0.25">
      <c r="A38" s="11"/>
      <c r="B38" s="9" t="s">
        <v>27</v>
      </c>
      <c r="C38" s="9" t="s">
        <v>56</v>
      </c>
      <c r="D38" s="5">
        <v>1851.36</v>
      </c>
    </row>
    <row r="39" spans="1:4" x14ac:dyDescent="0.25">
      <c r="A39" s="11"/>
      <c r="B39" s="9" t="s">
        <v>55</v>
      </c>
      <c r="C39" s="9" t="s">
        <v>54</v>
      </c>
      <c r="D39" s="5">
        <v>1060.21</v>
      </c>
    </row>
    <row r="40" spans="1:4" x14ac:dyDescent="0.25">
      <c r="A40" s="11"/>
      <c r="B40" s="9" t="s">
        <v>51</v>
      </c>
      <c r="C40" s="9" t="s">
        <v>50</v>
      </c>
      <c r="D40" s="5">
        <v>96.43</v>
      </c>
    </row>
    <row r="41" spans="1:4" x14ac:dyDescent="0.25">
      <c r="A41" s="10" t="s">
        <v>113</v>
      </c>
      <c r="B41" s="11"/>
      <c r="C41" s="11"/>
      <c r="D41" s="5">
        <v>3272.6899999999996</v>
      </c>
    </row>
    <row r="42" spans="1:4" x14ac:dyDescent="0.25">
      <c r="A42" s="12">
        <v>45986</v>
      </c>
      <c r="B42" s="9" t="s">
        <v>58</v>
      </c>
      <c r="C42" s="9" t="s">
        <v>57</v>
      </c>
      <c r="D42" s="5">
        <v>892.77</v>
      </c>
    </row>
    <row r="43" spans="1:4" x14ac:dyDescent="0.25">
      <c r="A43" s="11"/>
      <c r="B43" s="9" t="s">
        <v>60</v>
      </c>
      <c r="C43" s="9" t="s">
        <v>59</v>
      </c>
      <c r="D43" s="5">
        <v>31500</v>
      </c>
    </row>
    <row r="44" spans="1:4" x14ac:dyDescent="0.25">
      <c r="A44" s="10" t="s">
        <v>114</v>
      </c>
      <c r="B44" s="11"/>
      <c r="C44" s="11"/>
      <c r="D44" s="5">
        <v>32392.77</v>
      </c>
    </row>
    <row r="45" spans="1:4" x14ac:dyDescent="0.25">
      <c r="A45" s="12">
        <v>45985</v>
      </c>
      <c r="B45" s="10" t="s">
        <v>66</v>
      </c>
      <c r="C45" s="9" t="s">
        <v>65</v>
      </c>
      <c r="D45" s="5">
        <v>1767.63</v>
      </c>
    </row>
    <row r="46" spans="1:4" x14ac:dyDescent="0.25">
      <c r="A46" s="11"/>
      <c r="B46" s="11"/>
      <c r="C46" s="9" t="s">
        <v>67</v>
      </c>
      <c r="D46" s="5">
        <v>5984.39</v>
      </c>
    </row>
    <row r="47" spans="1:4" x14ac:dyDescent="0.25">
      <c r="A47" s="11"/>
      <c r="B47" s="9" t="s">
        <v>62</v>
      </c>
      <c r="C47" s="9" t="s">
        <v>61</v>
      </c>
      <c r="D47" s="5">
        <v>321.14</v>
      </c>
    </row>
    <row r="48" spans="1:4" x14ac:dyDescent="0.25">
      <c r="A48" s="11"/>
      <c r="B48" s="9" t="s">
        <v>64</v>
      </c>
      <c r="C48" s="9" t="s">
        <v>63</v>
      </c>
      <c r="D48" s="5">
        <v>651.04999999999995</v>
      </c>
    </row>
    <row r="49" spans="1:4" x14ac:dyDescent="0.25">
      <c r="A49" s="10" t="s">
        <v>115</v>
      </c>
      <c r="B49" s="11"/>
      <c r="C49" s="11"/>
      <c r="D49" s="5">
        <v>8724.2100000000009</v>
      </c>
    </row>
    <row r="50" spans="1:4" x14ac:dyDescent="0.25">
      <c r="A50" s="12">
        <v>45982</v>
      </c>
      <c r="B50" s="9" t="s">
        <v>79</v>
      </c>
      <c r="C50" s="9" t="s">
        <v>78</v>
      </c>
      <c r="D50" s="5">
        <v>2104.9</v>
      </c>
    </row>
    <row r="51" spans="1:4" x14ac:dyDescent="0.25">
      <c r="A51" s="11"/>
      <c r="B51" s="9" t="s">
        <v>77</v>
      </c>
      <c r="C51" s="9" t="s">
        <v>76</v>
      </c>
      <c r="D51" s="5">
        <v>2049.09</v>
      </c>
    </row>
    <row r="52" spans="1:4" x14ac:dyDescent="0.25">
      <c r="A52" s="11"/>
      <c r="B52" s="9" t="s">
        <v>71</v>
      </c>
      <c r="C52" s="9" t="s">
        <v>70</v>
      </c>
      <c r="D52" s="5">
        <v>710.53</v>
      </c>
    </row>
    <row r="53" spans="1:4" x14ac:dyDescent="0.25">
      <c r="A53" s="11"/>
      <c r="B53" s="9" t="s">
        <v>81</v>
      </c>
      <c r="C53" s="9" t="s">
        <v>80</v>
      </c>
      <c r="D53" s="5">
        <v>9373.7800000000007</v>
      </c>
    </row>
    <row r="54" spans="1:4" x14ac:dyDescent="0.25">
      <c r="A54" s="11"/>
      <c r="B54" s="9" t="s">
        <v>69</v>
      </c>
      <c r="C54" s="9" t="s">
        <v>68</v>
      </c>
      <c r="D54" s="5">
        <v>315</v>
      </c>
    </row>
    <row r="55" spans="1:4" x14ac:dyDescent="0.25">
      <c r="A55" s="11"/>
      <c r="B55" s="9" t="s">
        <v>75</v>
      </c>
      <c r="C55" s="9" t="s">
        <v>74</v>
      </c>
      <c r="D55" s="5">
        <v>964.29</v>
      </c>
    </row>
    <row r="56" spans="1:4" x14ac:dyDescent="0.25">
      <c r="A56" s="11"/>
      <c r="B56" s="9" t="s">
        <v>73</v>
      </c>
      <c r="C56" s="9" t="s">
        <v>72</v>
      </c>
      <c r="D56" s="5">
        <v>893.09</v>
      </c>
    </row>
    <row r="57" spans="1:4" x14ac:dyDescent="0.25">
      <c r="A57" s="10" t="s">
        <v>116</v>
      </c>
      <c r="B57" s="11"/>
      <c r="C57" s="11"/>
      <c r="D57" s="5">
        <v>16410.68</v>
      </c>
    </row>
    <row r="58" spans="1:4" x14ac:dyDescent="0.25">
      <c r="A58" s="12">
        <v>45980</v>
      </c>
      <c r="B58" s="9" t="s">
        <v>13</v>
      </c>
      <c r="C58" s="9" t="s">
        <v>83</v>
      </c>
      <c r="D58" s="5">
        <v>1048.8</v>
      </c>
    </row>
    <row r="59" spans="1:4" x14ac:dyDescent="0.25">
      <c r="A59" s="11"/>
      <c r="B59" s="9" t="s">
        <v>86</v>
      </c>
      <c r="C59" s="9" t="s">
        <v>85</v>
      </c>
      <c r="D59" s="5">
        <v>1065.6400000000001</v>
      </c>
    </row>
    <row r="60" spans="1:4" x14ac:dyDescent="0.25">
      <c r="A60" s="11"/>
      <c r="B60" s="9" t="s">
        <v>55</v>
      </c>
      <c r="C60" s="9" t="s">
        <v>84</v>
      </c>
      <c r="D60" s="5">
        <v>1060.21</v>
      </c>
    </row>
    <row r="61" spans="1:4" x14ac:dyDescent="0.25">
      <c r="A61" s="11"/>
      <c r="B61" s="9" t="s">
        <v>19</v>
      </c>
      <c r="C61" s="9" t="s">
        <v>87</v>
      </c>
      <c r="D61" s="5">
        <v>5964.53</v>
      </c>
    </row>
    <row r="62" spans="1:4" x14ac:dyDescent="0.25">
      <c r="A62" s="11"/>
      <c r="B62" s="9" t="s">
        <v>73</v>
      </c>
      <c r="C62" s="9" t="s">
        <v>82</v>
      </c>
      <c r="D62" s="5">
        <v>900.58</v>
      </c>
    </row>
    <row r="63" spans="1:4" x14ac:dyDescent="0.25">
      <c r="A63" s="10" t="s">
        <v>117</v>
      </c>
      <c r="B63" s="11"/>
      <c r="C63" s="11"/>
      <c r="D63" s="5">
        <v>10039.76</v>
      </c>
    </row>
    <row r="64" spans="1:4" x14ac:dyDescent="0.25">
      <c r="A64" s="8">
        <v>45979</v>
      </c>
      <c r="B64" s="9" t="s">
        <v>89</v>
      </c>
      <c r="C64" s="9" t="s">
        <v>88</v>
      </c>
      <c r="D64" s="5">
        <v>214.1</v>
      </c>
    </row>
    <row r="65" spans="1:4" x14ac:dyDescent="0.25">
      <c r="A65" s="10" t="s">
        <v>118</v>
      </c>
      <c r="B65" s="11"/>
      <c r="C65" s="11"/>
      <c r="D65" s="5">
        <v>214.1</v>
      </c>
    </row>
    <row r="66" spans="1:4" x14ac:dyDescent="0.25">
      <c r="A66" s="12">
        <v>45978</v>
      </c>
      <c r="B66" s="9" t="s">
        <v>93</v>
      </c>
      <c r="C66" s="9" t="s">
        <v>92</v>
      </c>
      <c r="D66" s="5">
        <v>3041.8</v>
      </c>
    </row>
    <row r="67" spans="1:4" x14ac:dyDescent="0.25">
      <c r="A67" s="11"/>
      <c r="B67" s="9" t="s">
        <v>91</v>
      </c>
      <c r="C67" s="9" t="s">
        <v>90</v>
      </c>
      <c r="D67" s="5">
        <v>2418.88</v>
      </c>
    </row>
    <row r="68" spans="1:4" x14ac:dyDescent="0.25">
      <c r="A68" s="10" t="s">
        <v>119</v>
      </c>
      <c r="B68" s="11"/>
      <c r="C68" s="11"/>
      <c r="D68" s="5">
        <v>5460.68</v>
      </c>
    </row>
    <row r="69" spans="1:4" x14ac:dyDescent="0.25">
      <c r="A69" s="12">
        <v>45975</v>
      </c>
      <c r="B69" s="9" t="s">
        <v>95</v>
      </c>
      <c r="C69" s="9" t="s">
        <v>94</v>
      </c>
      <c r="D69" s="5">
        <v>531.54999999999995</v>
      </c>
    </row>
    <row r="70" spans="1:4" x14ac:dyDescent="0.25">
      <c r="A70" s="11"/>
      <c r="B70" s="9" t="s">
        <v>97</v>
      </c>
      <c r="C70" s="9" t="s">
        <v>96</v>
      </c>
      <c r="D70" s="5">
        <v>563.72</v>
      </c>
    </row>
    <row r="71" spans="1:4" x14ac:dyDescent="0.25">
      <c r="A71" s="11"/>
      <c r="B71" s="9" t="s">
        <v>17</v>
      </c>
      <c r="C71" s="9" t="s">
        <v>98</v>
      </c>
      <c r="D71" s="5">
        <v>1048.78</v>
      </c>
    </row>
    <row r="72" spans="1:4" x14ac:dyDescent="0.25">
      <c r="A72" s="10" t="s">
        <v>120</v>
      </c>
      <c r="B72" s="11"/>
      <c r="C72" s="11"/>
      <c r="D72" s="5">
        <v>2144.0500000000002</v>
      </c>
    </row>
    <row r="73" spans="1:4" x14ac:dyDescent="0.25">
      <c r="A73" s="12">
        <v>45973</v>
      </c>
      <c r="B73" s="9" t="s">
        <v>102</v>
      </c>
      <c r="C73" s="9" t="s">
        <v>101</v>
      </c>
      <c r="D73" s="5">
        <v>661.58</v>
      </c>
    </row>
    <row r="74" spans="1:4" x14ac:dyDescent="0.25">
      <c r="A74" s="11"/>
      <c r="B74" s="9" t="s">
        <v>100</v>
      </c>
      <c r="C74" s="9" t="s">
        <v>99</v>
      </c>
      <c r="D74" s="5">
        <v>484.81</v>
      </c>
    </row>
    <row r="75" spans="1:4" x14ac:dyDescent="0.25">
      <c r="A75" s="10" t="s">
        <v>121</v>
      </c>
      <c r="B75" s="11"/>
      <c r="C75" s="11"/>
      <c r="D75" s="5">
        <v>1146.3900000000001</v>
      </c>
    </row>
    <row r="76" spans="1:4" x14ac:dyDescent="0.25">
      <c r="A76" s="10" t="s">
        <v>103</v>
      </c>
      <c r="B76" s="11"/>
      <c r="C76" s="11"/>
      <c r="D76" s="5">
        <v>294048.7</v>
      </c>
    </row>
  </sheetData>
  <mergeCells count="34">
    <mergeCell ref="A10:C10"/>
    <mergeCell ref="A11:A14"/>
    <mergeCell ref="B7:B9"/>
    <mergeCell ref="A4:A9"/>
    <mergeCell ref="A15:C15"/>
    <mergeCell ref="A41:C41"/>
    <mergeCell ref="B33:B35"/>
    <mergeCell ref="A75:C75"/>
    <mergeCell ref="A76:C76"/>
    <mergeCell ref="A42:A43"/>
    <mergeCell ref="A44:C44"/>
    <mergeCell ref="A31:C31"/>
    <mergeCell ref="B23:B25"/>
    <mergeCell ref="A32:A35"/>
    <mergeCell ref="A36:C36"/>
    <mergeCell ref="A37:A40"/>
    <mergeCell ref="A16:A19"/>
    <mergeCell ref="A20:C20"/>
    <mergeCell ref="A21:A27"/>
    <mergeCell ref="A28:C28"/>
    <mergeCell ref="A29:A30"/>
    <mergeCell ref="A73:A74"/>
    <mergeCell ref="A45:A48"/>
    <mergeCell ref="A49:C49"/>
    <mergeCell ref="A50:A56"/>
    <mergeCell ref="A57:C57"/>
    <mergeCell ref="A58:A62"/>
    <mergeCell ref="A63:C63"/>
    <mergeCell ref="B45:B46"/>
    <mergeCell ref="A65:C65"/>
    <mergeCell ref="A66:A67"/>
    <mergeCell ref="A68:C68"/>
    <mergeCell ref="A69:A71"/>
    <mergeCell ref="A72:C72"/>
  </mergeCells>
  <pageMargins left="0.511811024" right="0.511811024" top="0.78740157499999996" bottom="0.78740157499999996" header="0.31496062000000002" footer="0.31496062000000002"/>
  <pageSetup paperSize="9" scale="62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E0A9-6CFB-4D15-AC30-E3645AE8D8D6}">
  <dimension ref="A1:I58"/>
  <sheetViews>
    <sheetView tabSelected="1" zoomScaleNormal="100" workbookViewId="0">
      <selection activeCell="C6" sqref="C6"/>
    </sheetView>
  </sheetViews>
  <sheetFormatPr defaultRowHeight="15" x14ac:dyDescent="0.25"/>
  <cols>
    <col min="1" max="1" width="16.7109375" style="4" bestFit="1" customWidth="1"/>
    <col min="2" max="2" width="9.42578125" bestFit="1" customWidth="1"/>
    <col min="3" max="3" width="44.140625" bestFit="1" customWidth="1"/>
    <col min="4" max="4" width="17.85546875" bestFit="1" customWidth="1"/>
    <col min="5" max="5" width="15.5703125" style="1" bestFit="1" customWidth="1"/>
    <col min="6" max="6" width="18.85546875" style="1" bestFit="1" customWidth="1"/>
    <col min="7" max="7" width="13.28515625" style="15" bestFit="1" customWidth="1"/>
    <col min="8" max="8" width="14.28515625" style="2" bestFit="1" customWidth="1"/>
    <col min="9" max="9" width="20.7109375" bestFit="1" customWidth="1"/>
  </cols>
  <sheetData>
    <row r="1" spans="1:9" x14ac:dyDescent="0.25">
      <c r="A1" s="4" t="s">
        <v>0</v>
      </c>
      <c r="B1" s="4" t="s">
        <v>170</v>
      </c>
      <c r="C1" t="s">
        <v>1</v>
      </c>
      <c r="D1" t="s">
        <v>124</v>
      </c>
      <c r="E1" s="1" t="s">
        <v>123</v>
      </c>
      <c r="F1" s="1" t="s">
        <v>122</v>
      </c>
      <c r="G1" s="1" t="s">
        <v>2</v>
      </c>
      <c r="H1" s="2" t="s">
        <v>3</v>
      </c>
      <c r="I1" s="14" t="s">
        <v>168</v>
      </c>
    </row>
    <row r="2" spans="1:9" x14ac:dyDescent="0.25">
      <c r="A2" s="4">
        <v>53770</v>
      </c>
      <c r="B2" s="4">
        <v>1</v>
      </c>
      <c r="C2" t="s">
        <v>5</v>
      </c>
      <c r="D2" t="s">
        <v>125</v>
      </c>
      <c r="E2" s="1">
        <v>45988</v>
      </c>
      <c r="F2" s="1">
        <v>45994</v>
      </c>
      <c r="G2" s="1">
        <v>45995</v>
      </c>
      <c r="H2" s="2">
        <v>750.45</v>
      </c>
      <c r="I2" s="14">
        <v>3</v>
      </c>
    </row>
    <row r="3" spans="1:9" x14ac:dyDescent="0.25">
      <c r="A3" s="4">
        <v>5376</v>
      </c>
      <c r="B3" s="4">
        <v>1</v>
      </c>
      <c r="C3" t="s">
        <v>7</v>
      </c>
      <c r="D3" t="s">
        <v>126</v>
      </c>
      <c r="E3" s="1">
        <v>45993</v>
      </c>
      <c r="F3" s="1">
        <v>45996</v>
      </c>
      <c r="G3" s="1">
        <v>45995</v>
      </c>
      <c r="H3" s="2">
        <v>3691.52</v>
      </c>
      <c r="I3" s="14">
        <v>3</v>
      </c>
    </row>
    <row r="4" spans="1:9" ht="17.25" x14ac:dyDescent="0.4">
      <c r="A4" s="4">
        <v>53716</v>
      </c>
      <c r="B4" s="4">
        <v>1</v>
      </c>
      <c r="C4" t="s">
        <v>7</v>
      </c>
      <c r="D4" t="s">
        <v>126</v>
      </c>
      <c r="E4" s="1">
        <v>45993</v>
      </c>
      <c r="F4" s="1">
        <v>46013</v>
      </c>
      <c r="G4" s="1">
        <v>45995</v>
      </c>
      <c r="H4" s="13">
        <v>3691.53</v>
      </c>
      <c r="I4" s="14">
        <v>3</v>
      </c>
    </row>
    <row r="5" spans="1:9" x14ac:dyDescent="0.25">
      <c r="A5" s="4">
        <v>53716</v>
      </c>
      <c r="B5" s="4">
        <v>3</v>
      </c>
      <c r="C5" t="s">
        <v>7</v>
      </c>
      <c r="D5" t="s">
        <v>126</v>
      </c>
      <c r="E5" s="1">
        <v>45993</v>
      </c>
      <c r="F5" s="1">
        <v>46043</v>
      </c>
      <c r="G5" s="1">
        <v>45995</v>
      </c>
      <c r="H5" s="2">
        <v>3691.53</v>
      </c>
      <c r="I5" s="14">
        <v>3</v>
      </c>
    </row>
    <row r="6" spans="1:9" x14ac:dyDescent="0.25">
      <c r="A6" s="4">
        <v>7170</v>
      </c>
      <c r="B6" s="4" t="s">
        <v>169</v>
      </c>
      <c r="C6" t="s">
        <v>11</v>
      </c>
      <c r="D6" t="s">
        <v>127</v>
      </c>
      <c r="E6" s="1">
        <v>45992</v>
      </c>
      <c r="F6" s="1">
        <v>45996</v>
      </c>
      <c r="G6" s="1">
        <v>45995</v>
      </c>
      <c r="H6" s="2">
        <v>3871.85</v>
      </c>
      <c r="I6" s="14">
        <v>4</v>
      </c>
    </row>
    <row r="7" spans="1:9" x14ac:dyDescent="0.25">
      <c r="A7" s="4">
        <v>53771</v>
      </c>
      <c r="B7" s="4">
        <v>1</v>
      </c>
      <c r="C7" t="s">
        <v>13</v>
      </c>
      <c r="D7" t="s">
        <v>128</v>
      </c>
      <c r="E7" s="1">
        <v>45993</v>
      </c>
      <c r="F7" s="1">
        <v>45994</v>
      </c>
      <c r="G7" s="1">
        <v>45995</v>
      </c>
      <c r="H7" s="2">
        <v>3925.76</v>
      </c>
      <c r="I7" s="14">
        <v>3</v>
      </c>
    </row>
    <row r="8" spans="1:9" x14ac:dyDescent="0.25">
      <c r="A8" s="4">
        <v>53757</v>
      </c>
      <c r="B8" s="4">
        <v>1</v>
      </c>
      <c r="C8" t="s">
        <v>15</v>
      </c>
      <c r="D8" t="s">
        <v>129</v>
      </c>
      <c r="E8" s="1">
        <v>45993</v>
      </c>
      <c r="F8" s="1">
        <v>45993</v>
      </c>
      <c r="G8" s="1">
        <v>45994</v>
      </c>
      <c r="H8" s="2">
        <v>205.68</v>
      </c>
      <c r="I8" s="14">
        <v>3</v>
      </c>
    </row>
    <row r="9" spans="1:9" x14ac:dyDescent="0.25">
      <c r="A9" s="4">
        <v>53763</v>
      </c>
      <c r="B9" s="4">
        <v>1</v>
      </c>
      <c r="C9" t="s">
        <v>17</v>
      </c>
      <c r="D9" t="s">
        <v>130</v>
      </c>
      <c r="E9" s="1">
        <v>45993</v>
      </c>
      <c r="F9" s="1">
        <v>45993</v>
      </c>
      <c r="G9" s="1">
        <v>45994</v>
      </c>
      <c r="H9" s="2">
        <v>1023.06</v>
      </c>
      <c r="I9" s="14">
        <v>3</v>
      </c>
    </row>
    <row r="10" spans="1:9" x14ac:dyDescent="0.25">
      <c r="A10" s="4">
        <v>53762</v>
      </c>
      <c r="B10" s="4">
        <v>1</v>
      </c>
      <c r="C10" t="s">
        <v>19</v>
      </c>
      <c r="D10" t="s">
        <v>131</v>
      </c>
      <c r="E10" s="1">
        <v>45992</v>
      </c>
      <c r="F10" s="1">
        <v>45993</v>
      </c>
      <c r="G10" s="1">
        <v>45994</v>
      </c>
      <c r="H10" s="2">
        <v>10934.8</v>
      </c>
      <c r="I10" s="14">
        <v>3</v>
      </c>
    </row>
    <row r="11" spans="1:9" x14ac:dyDescent="0.25">
      <c r="A11" s="4">
        <v>53764</v>
      </c>
      <c r="B11" s="4">
        <v>1</v>
      </c>
      <c r="C11" t="s">
        <v>21</v>
      </c>
      <c r="D11" t="s">
        <v>132</v>
      </c>
      <c r="E11" s="1">
        <v>45993</v>
      </c>
      <c r="F11" s="1">
        <v>45993</v>
      </c>
      <c r="G11" s="1">
        <v>45994</v>
      </c>
      <c r="H11" s="2">
        <v>16788.66</v>
      </c>
      <c r="I11" s="14">
        <v>3</v>
      </c>
    </row>
    <row r="12" spans="1:9" x14ac:dyDescent="0.25">
      <c r="A12" s="4">
        <v>53749</v>
      </c>
      <c r="B12" s="4">
        <v>1</v>
      </c>
      <c r="C12" t="s">
        <v>23</v>
      </c>
      <c r="D12" t="s">
        <v>133</v>
      </c>
      <c r="E12" s="1">
        <v>45972</v>
      </c>
      <c r="F12" s="1">
        <v>45992</v>
      </c>
      <c r="G12" s="1">
        <v>45993</v>
      </c>
      <c r="H12" s="2">
        <v>1071.8499999999999</v>
      </c>
      <c r="I12" s="14">
        <v>3</v>
      </c>
    </row>
    <row r="13" spans="1:9" x14ac:dyDescent="0.25">
      <c r="A13" s="4">
        <v>53755</v>
      </c>
      <c r="B13" s="4">
        <v>1</v>
      </c>
      <c r="C13" t="s">
        <v>25</v>
      </c>
      <c r="D13" t="s">
        <v>134</v>
      </c>
      <c r="E13" s="1">
        <v>45992</v>
      </c>
      <c r="F13" s="1">
        <v>45992</v>
      </c>
      <c r="G13" s="1">
        <v>45993</v>
      </c>
      <c r="H13" s="2">
        <v>1362.69</v>
      </c>
      <c r="I13" s="14">
        <v>3</v>
      </c>
    </row>
    <row r="14" spans="1:9" x14ac:dyDescent="0.25">
      <c r="A14" s="4">
        <v>53707</v>
      </c>
      <c r="B14" s="4">
        <v>2</v>
      </c>
      <c r="C14" t="s">
        <v>27</v>
      </c>
      <c r="D14" t="s">
        <v>135</v>
      </c>
      <c r="E14" s="1">
        <v>45985</v>
      </c>
      <c r="F14" s="1">
        <v>45993</v>
      </c>
      <c r="G14" s="1">
        <v>45993</v>
      </c>
      <c r="H14" s="2">
        <v>1851.36</v>
      </c>
      <c r="I14" s="14">
        <v>3</v>
      </c>
    </row>
    <row r="15" spans="1:9" x14ac:dyDescent="0.25">
      <c r="A15" s="4">
        <v>931001</v>
      </c>
      <c r="B15" s="4">
        <v>1</v>
      </c>
      <c r="C15" t="s">
        <v>28</v>
      </c>
      <c r="D15" t="s">
        <v>136</v>
      </c>
      <c r="E15" s="1">
        <v>45987</v>
      </c>
      <c r="F15" s="1">
        <v>45991</v>
      </c>
      <c r="G15" s="1">
        <v>45993</v>
      </c>
      <c r="H15" s="2">
        <v>130000</v>
      </c>
      <c r="I15" s="14">
        <v>3</v>
      </c>
    </row>
    <row r="16" spans="1:9" x14ac:dyDescent="0.25">
      <c r="A16" s="4">
        <v>53745</v>
      </c>
      <c r="B16" s="4">
        <v>1</v>
      </c>
      <c r="C16" t="s">
        <v>30</v>
      </c>
      <c r="D16" t="s">
        <v>137</v>
      </c>
      <c r="E16" s="1">
        <v>45989</v>
      </c>
      <c r="F16" s="1">
        <v>45989</v>
      </c>
      <c r="G16" s="1">
        <v>45992</v>
      </c>
      <c r="H16" s="2">
        <v>234.43</v>
      </c>
      <c r="I16" s="14">
        <v>3</v>
      </c>
    </row>
    <row r="17" spans="1:9" x14ac:dyDescent="0.25">
      <c r="A17" s="4">
        <v>53743</v>
      </c>
      <c r="B17" s="4">
        <v>1</v>
      </c>
      <c r="C17" t="s">
        <v>32</v>
      </c>
      <c r="D17" t="s">
        <v>138</v>
      </c>
      <c r="E17" s="1">
        <v>45989</v>
      </c>
      <c r="F17" s="1">
        <v>45989</v>
      </c>
      <c r="G17" s="1">
        <v>45992</v>
      </c>
      <c r="H17" s="2">
        <v>480.18</v>
      </c>
      <c r="I17" s="14">
        <v>3</v>
      </c>
    </row>
    <row r="18" spans="1:9" x14ac:dyDescent="0.25">
      <c r="A18" s="4">
        <v>53744</v>
      </c>
      <c r="B18" s="4">
        <v>1</v>
      </c>
      <c r="C18" t="s">
        <v>34</v>
      </c>
      <c r="D18" t="s">
        <v>139</v>
      </c>
      <c r="E18" s="1">
        <v>45989</v>
      </c>
      <c r="F18" s="1">
        <v>45989</v>
      </c>
      <c r="G18" s="1">
        <v>45992</v>
      </c>
      <c r="H18" s="2">
        <v>1634.15</v>
      </c>
      <c r="I18" s="14">
        <v>3</v>
      </c>
    </row>
    <row r="19" spans="1:9" x14ac:dyDescent="0.25">
      <c r="A19" s="4">
        <v>53707</v>
      </c>
      <c r="B19" s="4">
        <v>3</v>
      </c>
      <c r="C19" t="s">
        <v>27</v>
      </c>
      <c r="D19" t="s">
        <v>135</v>
      </c>
      <c r="E19" s="1">
        <v>45985</v>
      </c>
      <c r="F19" s="1">
        <v>46007</v>
      </c>
      <c r="G19" s="1">
        <v>45992</v>
      </c>
      <c r="H19" s="2">
        <v>1851.37</v>
      </c>
      <c r="I19" s="14">
        <v>3</v>
      </c>
    </row>
    <row r="20" spans="1:9" x14ac:dyDescent="0.25">
      <c r="A20" s="4">
        <v>53837</v>
      </c>
      <c r="B20" s="4">
        <v>1</v>
      </c>
      <c r="C20" t="s">
        <v>37</v>
      </c>
      <c r="D20" t="s">
        <v>140</v>
      </c>
      <c r="E20" s="1">
        <v>45980</v>
      </c>
      <c r="F20" s="1">
        <v>46002</v>
      </c>
      <c r="G20" s="1">
        <v>45992</v>
      </c>
      <c r="H20" s="2">
        <v>2220.33</v>
      </c>
      <c r="I20" s="14">
        <v>3</v>
      </c>
    </row>
    <row r="21" spans="1:9" x14ac:dyDescent="0.25">
      <c r="A21" s="4">
        <v>53818</v>
      </c>
      <c r="B21" s="4">
        <v>1</v>
      </c>
      <c r="C21" t="s">
        <v>37</v>
      </c>
      <c r="D21" t="s">
        <v>140</v>
      </c>
      <c r="E21" s="1">
        <v>45978</v>
      </c>
      <c r="F21" s="1">
        <v>46001</v>
      </c>
      <c r="G21" s="1">
        <v>45992</v>
      </c>
      <c r="H21" s="2">
        <v>3096.38</v>
      </c>
      <c r="I21" s="14">
        <v>3</v>
      </c>
    </row>
    <row r="22" spans="1:9" x14ac:dyDescent="0.25">
      <c r="A22" s="4">
        <v>53817</v>
      </c>
      <c r="B22" s="4">
        <v>1</v>
      </c>
      <c r="C22" t="s">
        <v>37</v>
      </c>
      <c r="D22" t="s">
        <v>140</v>
      </c>
      <c r="E22" s="1">
        <v>45978</v>
      </c>
      <c r="F22" s="1">
        <v>46001</v>
      </c>
      <c r="G22" s="1">
        <v>45992</v>
      </c>
      <c r="H22" s="2">
        <v>6630.3</v>
      </c>
      <c r="I22" s="14">
        <v>3</v>
      </c>
    </row>
    <row r="23" spans="1:9" x14ac:dyDescent="0.25">
      <c r="A23" s="4">
        <v>53717</v>
      </c>
      <c r="B23" s="4">
        <v>1</v>
      </c>
      <c r="C23" t="s">
        <v>41</v>
      </c>
      <c r="D23" t="s">
        <v>141</v>
      </c>
      <c r="E23" s="1">
        <v>45988</v>
      </c>
      <c r="F23" s="1">
        <v>45988</v>
      </c>
      <c r="G23" s="1">
        <v>45989</v>
      </c>
      <c r="H23" s="2">
        <v>2173.9</v>
      </c>
      <c r="I23" s="14">
        <v>3</v>
      </c>
    </row>
    <row r="24" spans="1:9" x14ac:dyDescent="0.25">
      <c r="A24" s="4">
        <v>53741</v>
      </c>
      <c r="B24" s="4">
        <v>1</v>
      </c>
      <c r="C24" t="s">
        <v>43</v>
      </c>
      <c r="D24" t="s">
        <v>142</v>
      </c>
      <c r="E24" s="1">
        <v>45988</v>
      </c>
      <c r="F24" s="1">
        <v>45988</v>
      </c>
      <c r="G24" s="1">
        <v>45989</v>
      </c>
      <c r="H24" s="2">
        <v>6794.26</v>
      </c>
      <c r="I24" s="14">
        <v>3</v>
      </c>
    </row>
    <row r="25" spans="1:9" x14ac:dyDescent="0.25">
      <c r="A25" s="4">
        <v>53679</v>
      </c>
      <c r="B25" s="4">
        <v>1</v>
      </c>
      <c r="C25" t="s">
        <v>45</v>
      </c>
      <c r="D25" t="s">
        <v>143</v>
      </c>
      <c r="E25" s="1">
        <v>45986</v>
      </c>
      <c r="F25" s="1">
        <v>45987</v>
      </c>
      <c r="G25" s="1">
        <v>45988</v>
      </c>
      <c r="H25" s="2">
        <v>214.5</v>
      </c>
      <c r="I25" s="14">
        <v>3</v>
      </c>
    </row>
    <row r="26" spans="1:9" x14ac:dyDescent="0.25">
      <c r="A26" s="4">
        <v>53679</v>
      </c>
      <c r="B26" s="4">
        <v>2</v>
      </c>
      <c r="C26" t="s">
        <v>45</v>
      </c>
      <c r="D26" t="s">
        <v>143</v>
      </c>
      <c r="E26" s="1">
        <v>45986</v>
      </c>
      <c r="F26" s="1">
        <v>45987</v>
      </c>
      <c r="G26" s="1">
        <v>45988</v>
      </c>
      <c r="H26" s="2">
        <v>214.5</v>
      </c>
      <c r="I26" s="14">
        <v>3</v>
      </c>
    </row>
    <row r="27" spans="1:9" x14ac:dyDescent="0.25">
      <c r="A27" s="4">
        <v>53663</v>
      </c>
      <c r="B27" s="4">
        <v>2</v>
      </c>
      <c r="C27" t="s">
        <v>45</v>
      </c>
      <c r="D27" t="s">
        <v>143</v>
      </c>
      <c r="E27" s="1">
        <v>45986</v>
      </c>
      <c r="F27" s="1">
        <v>45987</v>
      </c>
      <c r="G27" s="1">
        <v>45988</v>
      </c>
      <c r="H27" s="2">
        <v>2467.9</v>
      </c>
      <c r="I27" s="14">
        <v>3</v>
      </c>
    </row>
    <row r="28" spans="1:9" x14ac:dyDescent="0.25">
      <c r="A28" s="4">
        <v>53733</v>
      </c>
      <c r="B28" s="4">
        <v>1</v>
      </c>
      <c r="C28" t="s">
        <v>49</v>
      </c>
      <c r="D28" t="s">
        <v>144</v>
      </c>
      <c r="E28" s="1">
        <v>45985</v>
      </c>
      <c r="F28" s="1">
        <v>45987</v>
      </c>
      <c r="G28" s="1">
        <v>45988</v>
      </c>
      <c r="H28" s="2">
        <v>3370.43</v>
      </c>
      <c r="I28" s="14">
        <v>3</v>
      </c>
    </row>
    <row r="29" spans="1:9" x14ac:dyDescent="0.25">
      <c r="A29" s="4">
        <v>53672</v>
      </c>
      <c r="B29" s="4">
        <v>2</v>
      </c>
      <c r="C29" t="s">
        <v>51</v>
      </c>
      <c r="D29" t="s">
        <v>145</v>
      </c>
      <c r="E29" s="1">
        <v>45986</v>
      </c>
      <c r="F29" s="1">
        <v>45986</v>
      </c>
      <c r="G29" s="1">
        <v>45987</v>
      </c>
      <c r="H29" s="2">
        <v>96.43</v>
      </c>
      <c r="I29" s="14">
        <v>3</v>
      </c>
    </row>
    <row r="30" spans="1:9" x14ac:dyDescent="0.25">
      <c r="A30" s="4">
        <v>53734</v>
      </c>
      <c r="B30" s="4">
        <v>1</v>
      </c>
      <c r="C30" t="s">
        <v>53</v>
      </c>
      <c r="D30" t="s">
        <v>146</v>
      </c>
      <c r="E30" s="1">
        <v>45985</v>
      </c>
      <c r="F30" s="1">
        <v>45987</v>
      </c>
      <c r="G30" s="1">
        <v>45987</v>
      </c>
      <c r="H30" s="2">
        <v>264.69</v>
      </c>
      <c r="I30" s="14">
        <v>3</v>
      </c>
    </row>
    <row r="31" spans="1:9" x14ac:dyDescent="0.25">
      <c r="A31" s="4">
        <v>7158</v>
      </c>
      <c r="B31" s="4">
        <v>2</v>
      </c>
      <c r="C31" t="s">
        <v>55</v>
      </c>
      <c r="D31" t="s">
        <v>147</v>
      </c>
      <c r="E31" s="1">
        <v>45973</v>
      </c>
      <c r="F31" s="1">
        <v>45986</v>
      </c>
      <c r="G31" s="1">
        <v>45987</v>
      </c>
      <c r="H31" s="2">
        <v>1060.21</v>
      </c>
      <c r="I31" s="14">
        <v>4</v>
      </c>
    </row>
    <row r="32" spans="1:9" x14ac:dyDescent="0.25">
      <c r="A32" s="4">
        <v>53707</v>
      </c>
      <c r="B32" s="4">
        <v>1</v>
      </c>
      <c r="C32" t="s">
        <v>27</v>
      </c>
      <c r="D32" t="s">
        <v>135</v>
      </c>
      <c r="E32" s="1">
        <v>45985</v>
      </c>
      <c r="F32" s="1">
        <v>45987</v>
      </c>
      <c r="G32" s="1">
        <v>45987</v>
      </c>
      <c r="H32" s="2">
        <v>1851.36</v>
      </c>
      <c r="I32" s="14">
        <v>3</v>
      </c>
    </row>
    <row r="33" spans="1:9" x14ac:dyDescent="0.25">
      <c r="A33" s="4">
        <v>53726</v>
      </c>
      <c r="B33" s="4">
        <v>1</v>
      </c>
      <c r="C33" t="s">
        <v>58</v>
      </c>
      <c r="D33" t="s">
        <v>148</v>
      </c>
      <c r="E33" s="1">
        <v>45980</v>
      </c>
      <c r="F33" s="1">
        <v>45985</v>
      </c>
      <c r="G33" s="1">
        <v>45986</v>
      </c>
      <c r="H33" s="2">
        <v>892.77</v>
      </c>
      <c r="I33" s="14">
        <v>3</v>
      </c>
    </row>
    <row r="34" spans="1:9" x14ac:dyDescent="0.25">
      <c r="A34" s="4">
        <v>53563</v>
      </c>
      <c r="B34" s="4">
        <v>3</v>
      </c>
      <c r="C34" t="s">
        <v>60</v>
      </c>
      <c r="D34" t="s">
        <v>149</v>
      </c>
      <c r="E34" s="1">
        <v>45972</v>
      </c>
      <c r="F34" s="1">
        <v>45985</v>
      </c>
      <c r="G34" s="1">
        <v>45986</v>
      </c>
      <c r="H34" s="2">
        <v>31500</v>
      </c>
      <c r="I34" s="14">
        <v>3</v>
      </c>
    </row>
    <row r="35" spans="1:9" x14ac:dyDescent="0.25">
      <c r="A35" s="4">
        <v>53725</v>
      </c>
      <c r="B35" s="4">
        <v>1</v>
      </c>
      <c r="C35" t="s">
        <v>62</v>
      </c>
      <c r="D35" t="s">
        <v>150</v>
      </c>
      <c r="E35" s="1">
        <v>45978</v>
      </c>
      <c r="F35" s="1">
        <v>45982</v>
      </c>
      <c r="G35" s="1">
        <v>45985</v>
      </c>
      <c r="H35" s="2">
        <v>321.14</v>
      </c>
      <c r="I35" s="14">
        <v>3</v>
      </c>
    </row>
    <row r="36" spans="1:9" x14ac:dyDescent="0.25">
      <c r="A36" s="4">
        <v>53775</v>
      </c>
      <c r="B36" s="4">
        <v>1</v>
      </c>
      <c r="C36" t="s">
        <v>64</v>
      </c>
      <c r="D36" t="s">
        <v>151</v>
      </c>
      <c r="E36" s="1">
        <v>45973</v>
      </c>
      <c r="F36" s="1">
        <v>45981</v>
      </c>
      <c r="G36" s="1">
        <v>45985</v>
      </c>
      <c r="H36" s="2">
        <v>651.04999999999995</v>
      </c>
      <c r="I36" s="14">
        <v>3</v>
      </c>
    </row>
    <row r="37" spans="1:9" x14ac:dyDescent="0.25">
      <c r="A37" s="4">
        <v>53718</v>
      </c>
      <c r="B37" s="4">
        <v>1</v>
      </c>
      <c r="C37" t="s">
        <v>66</v>
      </c>
      <c r="D37" t="s">
        <v>152</v>
      </c>
      <c r="E37" s="1">
        <v>45979</v>
      </c>
      <c r="F37" s="1">
        <v>45981</v>
      </c>
      <c r="G37" s="1">
        <v>45985</v>
      </c>
      <c r="H37" s="2">
        <v>1767.63</v>
      </c>
      <c r="I37" s="14">
        <v>3</v>
      </c>
    </row>
    <row r="38" spans="1:9" x14ac:dyDescent="0.25">
      <c r="A38" s="4">
        <v>53721</v>
      </c>
      <c r="B38" s="4">
        <v>1</v>
      </c>
      <c r="C38" t="s">
        <v>66</v>
      </c>
      <c r="D38" t="s">
        <v>152</v>
      </c>
      <c r="E38" s="1">
        <v>45979</v>
      </c>
      <c r="F38" s="1">
        <v>45981</v>
      </c>
      <c r="G38" s="1">
        <v>45985</v>
      </c>
      <c r="H38" s="2">
        <v>5984.39</v>
      </c>
      <c r="I38" s="14">
        <v>3</v>
      </c>
    </row>
    <row r="39" spans="1:9" x14ac:dyDescent="0.25">
      <c r="A39" s="4">
        <v>7157</v>
      </c>
      <c r="B39" s="4" t="s">
        <v>169</v>
      </c>
      <c r="C39" t="s">
        <v>69</v>
      </c>
      <c r="D39" t="s">
        <v>153</v>
      </c>
      <c r="E39" s="1">
        <v>45972</v>
      </c>
      <c r="F39" s="1">
        <v>45980</v>
      </c>
      <c r="G39" s="1">
        <v>45982</v>
      </c>
      <c r="H39" s="2">
        <v>315</v>
      </c>
      <c r="I39" s="14">
        <v>4</v>
      </c>
    </row>
    <row r="40" spans="1:9" x14ac:dyDescent="0.25">
      <c r="A40" s="4">
        <v>7159</v>
      </c>
      <c r="B40" s="4" t="s">
        <v>169</v>
      </c>
      <c r="C40" t="s">
        <v>71</v>
      </c>
      <c r="D40" t="s">
        <v>154</v>
      </c>
      <c r="E40" s="1">
        <v>45973</v>
      </c>
      <c r="F40" s="1">
        <v>45980</v>
      </c>
      <c r="G40" s="1">
        <v>45982</v>
      </c>
      <c r="H40" s="2">
        <v>710.53</v>
      </c>
      <c r="I40" s="14">
        <v>4</v>
      </c>
    </row>
    <row r="41" spans="1:9" x14ac:dyDescent="0.25">
      <c r="A41" s="4">
        <v>53724</v>
      </c>
      <c r="B41" s="4">
        <v>1</v>
      </c>
      <c r="C41" t="s">
        <v>73</v>
      </c>
      <c r="D41" t="s">
        <v>155</v>
      </c>
      <c r="E41" s="1">
        <v>45979</v>
      </c>
      <c r="F41" s="1">
        <v>45982</v>
      </c>
      <c r="G41" s="1">
        <v>45982</v>
      </c>
      <c r="H41" s="2">
        <v>893.09</v>
      </c>
      <c r="I41" s="14">
        <v>3</v>
      </c>
    </row>
    <row r="42" spans="1:9" x14ac:dyDescent="0.25">
      <c r="A42" s="4">
        <v>53720</v>
      </c>
      <c r="B42" s="4">
        <v>1</v>
      </c>
      <c r="C42" t="s">
        <v>75</v>
      </c>
      <c r="D42" t="s">
        <v>156</v>
      </c>
      <c r="E42" s="1">
        <v>45974</v>
      </c>
      <c r="F42" s="1">
        <v>45981</v>
      </c>
      <c r="G42" s="1">
        <v>45982</v>
      </c>
      <c r="H42" s="2">
        <v>964.29</v>
      </c>
      <c r="I42" s="14">
        <v>3</v>
      </c>
    </row>
    <row r="43" spans="1:9" x14ac:dyDescent="0.25">
      <c r="A43" s="4">
        <v>7162</v>
      </c>
      <c r="B43" s="4">
        <v>2</v>
      </c>
      <c r="C43" t="s">
        <v>77</v>
      </c>
      <c r="D43" t="s">
        <v>157</v>
      </c>
      <c r="E43" s="1">
        <v>45972</v>
      </c>
      <c r="F43" s="1">
        <v>45979</v>
      </c>
      <c r="G43" s="1">
        <v>45982</v>
      </c>
      <c r="H43" s="2">
        <v>2002.43</v>
      </c>
      <c r="I43" s="14">
        <v>4</v>
      </c>
    </row>
    <row r="44" spans="1:9" x14ac:dyDescent="0.25">
      <c r="A44" s="4">
        <v>7160</v>
      </c>
      <c r="B44" s="4" t="s">
        <v>169</v>
      </c>
      <c r="C44" t="s">
        <v>79</v>
      </c>
      <c r="D44" t="s">
        <v>158</v>
      </c>
      <c r="E44" s="1">
        <v>45973</v>
      </c>
      <c r="F44" s="1">
        <v>45980</v>
      </c>
      <c r="G44" s="1">
        <v>45982</v>
      </c>
      <c r="H44" s="2">
        <v>2104.9</v>
      </c>
      <c r="I44" s="14">
        <v>4</v>
      </c>
    </row>
    <row r="45" spans="1:9" x14ac:dyDescent="0.25">
      <c r="A45" s="4">
        <v>7161</v>
      </c>
      <c r="B45" s="4" t="s">
        <v>169</v>
      </c>
      <c r="C45" t="s">
        <v>81</v>
      </c>
      <c r="D45" t="s">
        <v>159</v>
      </c>
      <c r="E45" s="1">
        <v>45973</v>
      </c>
      <c r="F45" s="1">
        <v>45980</v>
      </c>
      <c r="G45" s="1">
        <v>45982</v>
      </c>
      <c r="H45" s="2">
        <v>9373.7800000000007</v>
      </c>
      <c r="I45" s="14">
        <v>4</v>
      </c>
    </row>
    <row r="46" spans="1:9" x14ac:dyDescent="0.25">
      <c r="A46" s="4">
        <v>53709</v>
      </c>
      <c r="B46" s="4">
        <v>1</v>
      </c>
      <c r="C46" t="s">
        <v>73</v>
      </c>
      <c r="D46" t="s">
        <v>155</v>
      </c>
      <c r="E46" s="1">
        <v>45979</v>
      </c>
      <c r="F46" s="1">
        <v>45979</v>
      </c>
      <c r="G46" s="1">
        <v>45980</v>
      </c>
      <c r="H46" s="2">
        <v>900.58</v>
      </c>
      <c r="I46" s="14">
        <v>3</v>
      </c>
    </row>
    <row r="47" spans="1:9" x14ac:dyDescent="0.25">
      <c r="A47" s="4">
        <v>53705</v>
      </c>
      <c r="B47" s="4">
        <v>1</v>
      </c>
      <c r="C47" t="s">
        <v>13</v>
      </c>
      <c r="D47" t="s">
        <v>128</v>
      </c>
      <c r="E47" s="1">
        <v>45979</v>
      </c>
      <c r="F47" s="1">
        <v>45979</v>
      </c>
      <c r="G47" s="1">
        <v>45980</v>
      </c>
      <c r="H47" s="2">
        <v>1048.8</v>
      </c>
      <c r="I47" s="14">
        <v>3</v>
      </c>
    </row>
    <row r="48" spans="1:9" x14ac:dyDescent="0.25">
      <c r="A48" s="4">
        <v>7158</v>
      </c>
      <c r="B48" s="4">
        <v>1</v>
      </c>
      <c r="C48" t="s">
        <v>55</v>
      </c>
      <c r="D48" t="s">
        <v>147</v>
      </c>
      <c r="E48" s="1">
        <v>45973</v>
      </c>
      <c r="F48" s="1">
        <v>45979</v>
      </c>
      <c r="G48" s="1">
        <v>45980</v>
      </c>
      <c r="H48" s="2">
        <v>1060.21</v>
      </c>
      <c r="I48" s="14">
        <v>4</v>
      </c>
    </row>
    <row r="49" spans="1:9" x14ac:dyDescent="0.25">
      <c r="A49" s="4">
        <v>53692</v>
      </c>
      <c r="B49" s="4">
        <v>1</v>
      </c>
      <c r="C49" t="s">
        <v>86</v>
      </c>
      <c r="D49" t="s">
        <v>160</v>
      </c>
      <c r="E49" s="1">
        <v>45978</v>
      </c>
      <c r="F49" s="1">
        <v>45979</v>
      </c>
      <c r="G49" s="1">
        <v>45980</v>
      </c>
      <c r="H49" s="2">
        <v>1065.6400000000001</v>
      </c>
      <c r="I49" s="14">
        <v>3</v>
      </c>
    </row>
    <row r="50" spans="1:9" x14ac:dyDescent="0.25">
      <c r="A50" s="4">
        <v>53710</v>
      </c>
      <c r="B50" s="4">
        <v>1</v>
      </c>
      <c r="C50" t="s">
        <v>19</v>
      </c>
      <c r="D50" t="s">
        <v>131</v>
      </c>
      <c r="E50" s="1">
        <v>45978</v>
      </c>
      <c r="F50" s="1">
        <v>45979</v>
      </c>
      <c r="G50" s="1">
        <v>45980</v>
      </c>
      <c r="H50" s="2">
        <v>5964.53</v>
      </c>
      <c r="I50" s="14">
        <v>3</v>
      </c>
    </row>
    <row r="51" spans="1:9" x14ac:dyDescent="0.25">
      <c r="A51" s="4">
        <v>53708</v>
      </c>
      <c r="B51" s="4">
        <v>1</v>
      </c>
      <c r="C51" t="s">
        <v>89</v>
      </c>
      <c r="D51" t="s">
        <v>161</v>
      </c>
      <c r="E51" s="1">
        <v>45978</v>
      </c>
      <c r="F51" s="1">
        <v>45979</v>
      </c>
      <c r="G51" s="1">
        <v>45979</v>
      </c>
      <c r="H51" s="2">
        <v>214.1</v>
      </c>
      <c r="I51" s="14">
        <v>3</v>
      </c>
    </row>
    <row r="52" spans="1:9" x14ac:dyDescent="0.25">
      <c r="A52" s="4">
        <v>53678</v>
      </c>
      <c r="B52" s="4">
        <v>1</v>
      </c>
      <c r="C52" t="s">
        <v>91</v>
      </c>
      <c r="D52" t="s">
        <v>162</v>
      </c>
      <c r="E52" s="1">
        <v>45974</v>
      </c>
      <c r="F52" s="1">
        <v>45975</v>
      </c>
      <c r="G52" s="1">
        <v>45978</v>
      </c>
      <c r="H52" s="2">
        <v>2418.88</v>
      </c>
      <c r="I52" s="14">
        <v>3</v>
      </c>
    </row>
    <row r="53" spans="1:9" x14ac:dyDescent="0.25">
      <c r="A53" s="4">
        <v>53538</v>
      </c>
      <c r="B53" s="4">
        <v>3</v>
      </c>
      <c r="C53" t="s">
        <v>93</v>
      </c>
      <c r="D53" t="s">
        <v>163</v>
      </c>
      <c r="E53" s="1">
        <v>45974</v>
      </c>
      <c r="F53" s="1">
        <v>45975</v>
      </c>
      <c r="G53" s="1">
        <v>45978</v>
      </c>
      <c r="H53" s="2">
        <v>3041.8</v>
      </c>
      <c r="I53" s="14">
        <v>3</v>
      </c>
    </row>
    <row r="54" spans="1:9" x14ac:dyDescent="0.25">
      <c r="A54" s="4">
        <v>53684</v>
      </c>
      <c r="B54" s="4">
        <v>1</v>
      </c>
      <c r="C54" t="s">
        <v>95</v>
      </c>
      <c r="D54" t="s">
        <v>164</v>
      </c>
      <c r="E54" s="1">
        <v>45973</v>
      </c>
      <c r="F54" s="1">
        <v>45974</v>
      </c>
      <c r="G54" s="1">
        <v>45975</v>
      </c>
      <c r="H54" s="2">
        <v>531.54999999999995</v>
      </c>
      <c r="I54" s="14">
        <v>3</v>
      </c>
    </row>
    <row r="55" spans="1:9" x14ac:dyDescent="0.25">
      <c r="A55" s="4">
        <v>53698</v>
      </c>
      <c r="B55" s="4">
        <v>1</v>
      </c>
      <c r="C55" t="s">
        <v>97</v>
      </c>
      <c r="D55" t="s">
        <v>165</v>
      </c>
      <c r="E55" s="1">
        <v>45973</v>
      </c>
      <c r="F55" s="1">
        <v>45975</v>
      </c>
      <c r="G55" s="1">
        <v>45975</v>
      </c>
      <c r="H55" s="2">
        <v>563.72</v>
      </c>
      <c r="I55" s="14">
        <v>3</v>
      </c>
    </row>
    <row r="56" spans="1:9" x14ac:dyDescent="0.25">
      <c r="A56" s="4">
        <v>53690</v>
      </c>
      <c r="B56" s="4">
        <v>1</v>
      </c>
      <c r="C56" t="s">
        <v>17</v>
      </c>
      <c r="D56" t="s">
        <v>130</v>
      </c>
      <c r="E56" s="1">
        <v>45974</v>
      </c>
      <c r="F56" s="1">
        <v>45974</v>
      </c>
      <c r="G56" s="1">
        <v>45975</v>
      </c>
      <c r="H56" s="2">
        <v>1048.78</v>
      </c>
      <c r="I56" s="14">
        <v>3</v>
      </c>
    </row>
    <row r="57" spans="1:9" x14ac:dyDescent="0.25">
      <c r="A57" s="4">
        <v>53676</v>
      </c>
      <c r="B57" s="4">
        <v>1</v>
      </c>
      <c r="C57" t="s">
        <v>100</v>
      </c>
      <c r="D57" t="s">
        <v>166</v>
      </c>
      <c r="E57" s="1">
        <v>45972</v>
      </c>
      <c r="F57" s="1">
        <v>45972</v>
      </c>
      <c r="G57" s="1">
        <v>45973</v>
      </c>
      <c r="H57" s="2">
        <v>484.81</v>
      </c>
      <c r="I57" s="14">
        <v>3</v>
      </c>
    </row>
    <row r="58" spans="1:9" x14ac:dyDescent="0.25">
      <c r="A58" s="4">
        <v>53685</v>
      </c>
      <c r="B58" s="4">
        <v>1</v>
      </c>
      <c r="C58" t="s">
        <v>102</v>
      </c>
      <c r="D58" t="s">
        <v>167</v>
      </c>
      <c r="E58" s="1">
        <v>45972</v>
      </c>
      <c r="F58" s="1">
        <v>45972</v>
      </c>
      <c r="G58" s="1">
        <v>45973</v>
      </c>
      <c r="H58" s="2">
        <v>661.58</v>
      </c>
      <c r="I58" s="14">
        <v>3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 Silva</dc:creator>
  <cp:lastModifiedBy>Edilson  Silva</cp:lastModifiedBy>
  <cp:lastPrinted>2025-12-04T20:52:58Z</cp:lastPrinted>
  <dcterms:created xsi:type="dcterms:W3CDTF">2025-12-04T20:44:58Z</dcterms:created>
  <dcterms:modified xsi:type="dcterms:W3CDTF">2025-12-04T22:10:42Z</dcterms:modified>
</cp:coreProperties>
</file>