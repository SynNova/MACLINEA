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linea\Desktop\Ana RH\DEMISSÕES\"/>
    </mc:Choice>
  </mc:AlternateContent>
  <bookViews>
    <workbookView xWindow="0" yWindow="0" windowWidth="20490" windowHeight="7635" activeTab="1"/>
  </bookViews>
  <sheets>
    <sheet name="Plan1" sheetId="2" r:id="rId1"/>
    <sheet name="Efetivo_23102025" sheetId="1" r:id="rId2"/>
  </sheets>
  <definedNames>
    <definedName name="_xlnm._FilterDatabase" localSheetId="1" hidden="1">Efetivo_23102025!$A$1:$G$42</definedName>
    <definedName name="_xlnm._FilterDatabase" localSheetId="0" hidden="1">Plan1!$A$1:$Z$61</definedName>
    <definedName name="aa">Plan1!$1:$1048576</definedName>
  </definedNam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" i="1"/>
</calcChain>
</file>

<file path=xl/sharedStrings.xml><?xml version="1.0" encoding="utf-8"?>
<sst xmlns="http://schemas.openxmlformats.org/spreadsheetml/2006/main" count="257" uniqueCount="176">
  <si>
    <t>NomeFuncionario</t>
  </si>
  <si>
    <t>NomeCargo</t>
  </si>
  <si>
    <t>DataAdmissao</t>
  </si>
  <si>
    <t>DataNascimento</t>
  </si>
  <si>
    <t>LUIZ FERNANDO MACHADO</t>
  </si>
  <si>
    <t>RICARDO DE OLIVEIRA FERNANDES</t>
  </si>
  <si>
    <t>ANTONIO CARLOS DE SOUZA</t>
  </si>
  <si>
    <t>Ajustador Montador A</t>
  </si>
  <si>
    <t>JORGE ANTONIO SIQUEIRA</t>
  </si>
  <si>
    <t>Mecanico Montador C</t>
  </si>
  <si>
    <t>ROBERTSON DO NASCIMENTO</t>
  </si>
  <si>
    <t>Proj. de Maquinas B</t>
  </si>
  <si>
    <t>TATIANE APARECIDA FARIAS</t>
  </si>
  <si>
    <t>Assist.Admin.</t>
  </si>
  <si>
    <t>MAIKON ROBERTO CARDOZO TESSARO</t>
  </si>
  <si>
    <t>LUCIANO DE CAMPOS SILVA</t>
  </si>
  <si>
    <t>Assistente Tecnico B</t>
  </si>
  <si>
    <t>MAURICIO MASSARIN</t>
  </si>
  <si>
    <t>Mecanico Montador B</t>
  </si>
  <si>
    <t>MAGDA LUCIA GIACOMELLI</t>
  </si>
  <si>
    <t>Sup(a)Financeiro(a)</t>
  </si>
  <si>
    <t>FABIO JUNIOR JONAS</t>
  </si>
  <si>
    <t>MARCOS ROBERTO MELO DO COUTO</t>
  </si>
  <si>
    <t>ADRIANO APARECIDO LOPES</t>
  </si>
  <si>
    <t>Mecanico Montador C</t>
  </si>
  <si>
    <t>EDSON DOMINGOS DE MORAES</t>
  </si>
  <si>
    <t>Assistente Tecnico C</t>
  </si>
  <si>
    <t>SERGIO DE OLIVEIRA SANTOS</t>
  </si>
  <si>
    <t>FABIO ALEXANDRE DA SILVA OLIVEIRA</t>
  </si>
  <si>
    <t>Assistente Tecnico C</t>
  </si>
  <si>
    <t>DANILO MASSARIN</t>
  </si>
  <si>
    <t>TIAGO FIOREZE</t>
  </si>
  <si>
    <t>Assistente Tecnico C</t>
  </si>
  <si>
    <t>FELIPE DE LIMA PINTO</t>
  </si>
  <si>
    <t>An. Proj. Elet. PL</t>
  </si>
  <si>
    <t>ANDERSON JUNIO DA SILVA</t>
  </si>
  <si>
    <t>Assistente Tecnico C</t>
  </si>
  <si>
    <t>RODRIGO DE CARVALHO JONAS</t>
  </si>
  <si>
    <t>Plainador A</t>
  </si>
  <si>
    <t>ARLETE DOS SANTOS MELO</t>
  </si>
  <si>
    <t>Analista Tributario</t>
  </si>
  <si>
    <t>RODRIGO KAVALKIEVICZ</t>
  </si>
  <si>
    <t>Mecanico Montador C</t>
  </si>
  <si>
    <t>FABIO JULIO DE MELO</t>
  </si>
  <si>
    <t>Torn. Ferram B</t>
  </si>
  <si>
    <t>JAIR MEIRELES DA SILVA</t>
  </si>
  <si>
    <t>An. de Qualidade PL</t>
  </si>
  <si>
    <t>EDSON VALERIO NASILOWSKI</t>
  </si>
  <si>
    <t>Mecanico Montador E</t>
  </si>
  <si>
    <t>CINTIA BARBARA DA CUNHA GRESCZYSZIN</t>
  </si>
  <si>
    <t>Coord Rec. Humanos</t>
  </si>
  <si>
    <t>VANDERLEY JONAS</t>
  </si>
  <si>
    <t>Oper. Maquina B</t>
  </si>
  <si>
    <t>JOSE ALEXANDRE COELHO</t>
  </si>
  <si>
    <t>Vendedor Tecnico</t>
  </si>
  <si>
    <t>HALLAN SIQUEIRA CORTES</t>
  </si>
  <si>
    <t>Operador CNC-D</t>
  </si>
  <si>
    <t>RAYANNE CARRARA MAZIM IANCOSKI</t>
  </si>
  <si>
    <t>Analis. Compras SR</t>
  </si>
  <si>
    <t>VALTONIR DA COSTA</t>
  </si>
  <si>
    <t>Oper. Mandr. CNC- B</t>
  </si>
  <si>
    <t>MARCOS ANTONIO SUMAN</t>
  </si>
  <si>
    <t>Soldador Montador C</t>
  </si>
  <si>
    <t>LUCIANO SILVA</t>
  </si>
  <si>
    <t>Oper. Maquina C</t>
  </si>
  <si>
    <t>JOSE CARLOS DUCATE SANTA ANA</t>
  </si>
  <si>
    <t>Torneiro Mecanico C</t>
  </si>
  <si>
    <t>MARIA EDUARDA DRUZYK</t>
  </si>
  <si>
    <t>Auxiliar Contabil</t>
  </si>
  <si>
    <t>EDSON DE OLIVEIRA BRASIL</t>
  </si>
  <si>
    <t>DOUGLAS ZARINELLO</t>
  </si>
  <si>
    <t>Proj. Desenv. I</t>
  </si>
  <si>
    <t>GEOVANI TEODORO DA SILVA</t>
  </si>
  <si>
    <t>Oper.Mandr./CNC-D</t>
  </si>
  <si>
    <t>FRANCISCO QUEIROZ VIEIRA</t>
  </si>
  <si>
    <t>Tec. Eletricista C</t>
  </si>
  <si>
    <t>JOAO ALEXANDRE MANOSSO</t>
  </si>
  <si>
    <t>Mecanico Montador D</t>
  </si>
  <si>
    <t>ANDERSON TABORDA DA FONSECA</t>
  </si>
  <si>
    <t>Proj. de Maquinas A</t>
  </si>
  <si>
    <t>JOAO OCTAVIO DE LIMA</t>
  </si>
  <si>
    <t>Gerente Engenharia</t>
  </si>
  <si>
    <t>THIAGO JOSE PIANOWSKI</t>
  </si>
  <si>
    <t>LUCAS MARTINS PEREIRA</t>
  </si>
  <si>
    <t>Oper.Mandr./CNC-B</t>
  </si>
  <si>
    <t>WAGNER INACIO DE SOUZA</t>
  </si>
  <si>
    <t>MARCIO QUEDAS TEIXEIRA</t>
  </si>
  <si>
    <t>Soldador Mont E</t>
  </si>
  <si>
    <t>VINICIUS DE LARA BELEM</t>
  </si>
  <si>
    <t>PATRICIA CRISTINA ZORZI</t>
  </si>
  <si>
    <t>SUEMAR JOSE DA COSTA</t>
  </si>
  <si>
    <t>GUSTAVO LUIS ROCHEMBACH</t>
  </si>
  <si>
    <t>Analista de PCP</t>
  </si>
  <si>
    <t>LUIS PAULO DE OLIVEIRA VELASQUEZ</t>
  </si>
  <si>
    <t>TAIANE BARBOZA DE OLIVEIRA</t>
  </si>
  <si>
    <t>ANGELO PIPITONE</t>
  </si>
  <si>
    <t>JOSOEL DE CAMARGO SILVA</t>
  </si>
  <si>
    <t>Enc de Almoxarifado</t>
  </si>
  <si>
    <t>ANA PAULA DE OLIVEIRA MARCELINO</t>
  </si>
  <si>
    <t>An. Administrativo</t>
  </si>
  <si>
    <t>CLEITON PEREIRA DE FREITAS</t>
  </si>
  <si>
    <t>ANALU DOS SANTOS SIQUEIRA</t>
  </si>
  <si>
    <t>ANA BEATRIZ NASCIMENTO BORGES</t>
  </si>
  <si>
    <t>Aux. Administr.</t>
  </si>
  <si>
    <t>Contrato</t>
  </si>
  <si>
    <t>Nome</t>
  </si>
  <si>
    <t>109.568.878-21</t>
  </si>
  <si>
    <t>977.626.109-44</t>
  </si>
  <si>
    <t>268.990.048-36</t>
  </si>
  <si>
    <t>944.340.269-68</t>
  </si>
  <si>
    <t>011.664.886-40</t>
  </si>
  <si>
    <t>620.258.050-04</t>
  </si>
  <si>
    <t>787.350.179-53</t>
  </si>
  <si>
    <t>159.783.649-40</t>
  </si>
  <si>
    <t>744.597.409-15</t>
  </si>
  <si>
    <t>062.913.309-38</t>
  </si>
  <si>
    <t>053.172.109-41</t>
  </si>
  <si>
    <t>088.120.579-69</t>
  </si>
  <si>
    <t>073.798.999-88</t>
  </si>
  <si>
    <t>102.157.159-85</t>
  </si>
  <si>
    <t>035.695.109-05</t>
  </si>
  <si>
    <t>834.330.740-20</t>
  </si>
  <si>
    <t>876.420.269-00</t>
  </si>
  <si>
    <t>010.597.299-11</t>
  </si>
  <si>
    <t>730.752.217-91</t>
  </si>
  <si>
    <t>040.961.289-88</t>
  </si>
  <si>
    <t>625.943.389-15</t>
  </si>
  <si>
    <t>033.727.289-12</t>
  </si>
  <si>
    <t>864.498.939-15</t>
  </si>
  <si>
    <t>075.112.819-82</t>
  </si>
  <si>
    <t>574.098.629-04</t>
  </si>
  <si>
    <t>264.978.078-96</t>
  </si>
  <si>
    <t>071.649.229-69</t>
  </si>
  <si>
    <t>036.639.389-80</t>
  </si>
  <si>
    <t>033.136.749-17</t>
  </si>
  <si>
    <t>046.337.669-29</t>
  </si>
  <si>
    <t>WILSON DONIZETE CAMARGO</t>
  </si>
  <si>
    <t>103.459.008-12</t>
  </si>
  <si>
    <t>056.305.729-70</t>
  </si>
  <si>
    <t>046.361.602-23</t>
  </si>
  <si>
    <t>076.362.719-40</t>
  </si>
  <si>
    <t>323.990.728-39</t>
  </si>
  <si>
    <t>100.044.829-05</t>
  </si>
  <si>
    <t>873.949.019-04</t>
  </si>
  <si>
    <t>075.021.739-19</t>
  </si>
  <si>
    <t>051.918.779-26</t>
  </si>
  <si>
    <t>071.304.949-99</t>
  </si>
  <si>
    <t>037.247.219-27</t>
  </si>
  <si>
    <t>827.679.552-87</t>
  </si>
  <si>
    <t>GERSON ANTONIO LABRES BUENO</t>
  </si>
  <si>
    <t>573.238.369-72</t>
  </si>
  <si>
    <t>060.517.109-22</t>
  </si>
  <si>
    <t>038.957.129-65</t>
  </si>
  <si>
    <t>509.197.689-20</t>
  </si>
  <si>
    <t>874.856.999-20</t>
  </si>
  <si>
    <t>714.702.049-91</t>
  </si>
  <si>
    <t>029.146.839-01</t>
  </si>
  <si>
    <t>293.033.258-18</t>
  </si>
  <si>
    <t>867.845.019-34</t>
  </si>
  <si>
    <t>039.727.749-07</t>
  </si>
  <si>
    <t>151.917.427-61</t>
  </si>
  <si>
    <t>169.828.038-64</t>
  </si>
  <si>
    <t>031.913.129-78</t>
  </si>
  <si>
    <t>053.963.779-33</t>
  </si>
  <si>
    <t>049.969.999-85</t>
  </si>
  <si>
    <t>703.452.449-15</t>
  </si>
  <si>
    <t>064.159.749-55</t>
  </si>
  <si>
    <t>067.307.059-06</t>
  </si>
  <si>
    <t>Matrícula</t>
  </si>
  <si>
    <t>CPF</t>
  </si>
  <si>
    <t>040.264.616-96</t>
  </si>
  <si>
    <t>Tempo de casa</t>
  </si>
  <si>
    <t>Assistencia tecnica - serão desligados</t>
  </si>
  <si>
    <t>Licença</t>
  </si>
  <si>
    <t>Atestado/férias - serão desligados</t>
  </si>
  <si>
    <t>Usinagem - Recontratação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</si>
</sst>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color theme="1"/>
      <name val="Calibri"/>
      <family val="2"/>
      <scheme val="minor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1" fillId="0" borderId="0" xfId="1" applyProtection="1">
      <protection locked="0"/>
    </xf>
    <xf numFmtId="0" fontId="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4" fillId="6" borderId="1" xfId="0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left" vertical="top" wrapText="1"/>
    </xf>
    <xf numFmtId="14" fontId="2" fillId="6" borderId="1" xfId="0" applyNumberFormat="1" applyFont="1" applyFill="1" applyBorder="1" applyAlignment="1">
      <alignment horizontal="left" vertical="top" wrapText="1"/>
    </xf>
    <xf numFmtId="0" fontId="0" fillId="6" borderId="1" xfId="0" applyFill="1" applyBorder="1"/>
    <xf numFmtId="0" fontId="0" fillId="6" borderId="0" xfId="0" applyFill="1"/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right" vertical="top" wrapText="1"/>
    </xf>
    <xf numFmtId="14" fontId="2" fillId="7" borderId="1" xfId="0" applyNumberFormat="1" applyFont="1" applyFill="1" applyBorder="1" applyAlignment="1">
      <alignment horizontal="left" vertical="top" wrapText="1"/>
    </xf>
    <xf numFmtId="0" fontId="0" fillId="7" borderId="1" xfId="0" applyFill="1" applyBorder="1"/>
    <xf numFmtId="0" fontId="0" fillId="7" borderId="0" xfId="0" applyFill="1"/>
    <xf numFmtId="0" fontId="4" fillId="8" borderId="1" xfId="0" applyFont="1" applyFill="1" applyBorder="1" applyAlignment="1">
      <alignment horizontal="right" vertical="top" wrapText="1"/>
    </xf>
    <xf numFmtId="0" fontId="3" fillId="8" borderId="1" xfId="0" applyFont="1" applyFill="1" applyBorder="1" applyAlignment="1">
      <alignment horizontal="left" vertical="top" wrapText="1"/>
    </xf>
    <xf numFmtId="14" fontId="2" fillId="8" borderId="1" xfId="0" applyNumberFormat="1" applyFont="1" applyFill="1" applyBorder="1" applyAlignment="1">
      <alignment horizontal="left" vertical="top" wrapText="1"/>
    </xf>
    <xf numFmtId="0" fontId="0" fillId="8" borderId="1" xfId="0" applyFill="1" applyBorder="1"/>
    <xf numFmtId="0" fontId="0" fillId="8" borderId="0" xfId="0" applyFill="1"/>
    <xf numFmtId="0" fontId="0" fillId="9" borderId="0" xfId="0" applyFill="1"/>
    <xf numFmtId="0" fontId="4" fillId="9" borderId="1" xfId="0" applyFont="1" applyFill="1" applyBorder="1" applyAlignment="1">
      <alignment horizontal="right" vertical="top" wrapText="1"/>
    </xf>
    <xf numFmtId="0" fontId="3" fillId="9" borderId="1" xfId="0" applyFont="1" applyFill="1" applyBorder="1" applyAlignment="1">
      <alignment horizontal="left" vertical="top" wrapText="1"/>
    </xf>
    <xf numFmtId="14" fontId="2" fillId="9" borderId="1" xfId="0" applyNumberFormat="1" applyFont="1" applyFill="1" applyBorder="1" applyAlignment="1">
      <alignment horizontal="left" vertical="top" wrapText="1"/>
    </xf>
    <xf numFmtId="0" fontId="0" fillId="9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sqref="A1:XFD1048576"/>
    </sheetView>
  </sheetViews>
  <sheetFormatPr defaultRowHeight="15"/>
  <cols>
    <col min="1" max="1" width="11.42578125" bestFit="1" customWidth="1"/>
    <col min="2" max="2" width="38.7109375" bestFit="1" customWidth="1"/>
    <col min="3" max="3" width="14" bestFit="1" customWidth="1"/>
  </cols>
  <sheetData>
    <row r="1" spans="1:3">
      <c r="A1" s="1" t="s">
        <v>168</v>
      </c>
      <c r="B1" s="2" t="s">
        <v>105</v>
      </c>
      <c r="C1" s="1" t="s">
        <v>169</v>
      </c>
    </row>
    <row r="2" spans="1:3">
      <c r="A2" s="2">
        <v>706</v>
      </c>
      <c r="B2" s="2" t="s">
        <v>53</v>
      </c>
      <c r="C2" s="2" t="s">
        <v>106</v>
      </c>
    </row>
    <row r="3" spans="1:3">
      <c r="A3" s="2">
        <v>697</v>
      </c>
      <c r="B3" s="2" t="s">
        <v>47</v>
      </c>
      <c r="C3" s="2" t="s">
        <v>107</v>
      </c>
    </row>
    <row r="4" spans="1:3">
      <c r="A4" s="2">
        <v>509</v>
      </c>
      <c r="B4" s="2" t="s">
        <v>28</v>
      </c>
      <c r="C4" s="2" t="s">
        <v>108</v>
      </c>
    </row>
    <row r="5" spans="1:3">
      <c r="A5" s="2">
        <v>686</v>
      </c>
      <c r="B5" s="2" t="s">
        <v>45</v>
      </c>
      <c r="C5" s="2" t="s">
        <v>109</v>
      </c>
    </row>
    <row r="6" spans="1:3">
      <c r="A6" s="2">
        <v>263</v>
      </c>
      <c r="B6" s="2" t="s">
        <v>15</v>
      </c>
      <c r="C6" s="2" t="s">
        <v>110</v>
      </c>
    </row>
    <row r="7" spans="1:3">
      <c r="A7" s="2">
        <v>778</v>
      </c>
      <c r="B7" s="2" t="s">
        <v>93</v>
      </c>
      <c r="C7" s="2" t="s">
        <v>111</v>
      </c>
    </row>
    <row r="8" spans="1:3">
      <c r="A8" s="2">
        <v>470</v>
      </c>
      <c r="B8" s="2" t="s">
        <v>27</v>
      </c>
      <c r="C8" s="2" t="s">
        <v>112</v>
      </c>
    </row>
    <row r="9" spans="1:3">
      <c r="A9" s="2">
        <v>806</v>
      </c>
      <c r="B9" s="2" t="s">
        <v>101</v>
      </c>
      <c r="C9" s="2" t="s">
        <v>113</v>
      </c>
    </row>
    <row r="10" spans="1:3">
      <c r="A10" s="2">
        <v>142</v>
      </c>
      <c r="B10" s="2" t="s">
        <v>6</v>
      </c>
      <c r="C10" s="2" t="s">
        <v>114</v>
      </c>
    </row>
    <row r="11" spans="1:3">
      <c r="A11" s="2">
        <v>757</v>
      </c>
      <c r="B11" s="2" t="s">
        <v>70</v>
      </c>
      <c r="C11" s="2" t="s">
        <v>115</v>
      </c>
    </row>
    <row r="12" spans="1:3">
      <c r="A12" s="2">
        <v>465</v>
      </c>
      <c r="B12" s="2" t="s">
        <v>25</v>
      </c>
      <c r="C12" s="2" t="s">
        <v>116</v>
      </c>
    </row>
    <row r="13" spans="1:3">
      <c r="A13" s="2">
        <v>551</v>
      </c>
      <c r="B13" s="2" t="s">
        <v>33</v>
      </c>
      <c r="C13" s="2" t="s">
        <v>117</v>
      </c>
    </row>
    <row r="14" spans="1:3">
      <c r="A14" s="2">
        <v>777</v>
      </c>
      <c r="B14" s="2" t="s">
        <v>91</v>
      </c>
      <c r="C14" s="2" t="s">
        <v>118</v>
      </c>
    </row>
    <row r="15" spans="1:3">
      <c r="A15" s="2">
        <v>768</v>
      </c>
      <c r="B15" s="2" t="s">
        <v>83</v>
      </c>
      <c r="C15" s="2" t="s">
        <v>119</v>
      </c>
    </row>
    <row r="16" spans="1:3">
      <c r="A16" s="2">
        <v>322</v>
      </c>
      <c r="B16" s="2" t="s">
        <v>22</v>
      </c>
      <c r="C16" s="2" t="s">
        <v>120</v>
      </c>
    </row>
    <row r="17" spans="1:3">
      <c r="A17" s="2">
        <v>544</v>
      </c>
      <c r="B17" s="2" t="s">
        <v>31</v>
      </c>
      <c r="C17" s="2" t="s">
        <v>121</v>
      </c>
    </row>
    <row r="18" spans="1:3">
      <c r="A18" s="2">
        <v>704</v>
      </c>
      <c r="B18" s="2" t="s">
        <v>51</v>
      </c>
      <c r="C18" s="2" t="s">
        <v>122</v>
      </c>
    </row>
    <row r="19" spans="1:3">
      <c r="A19" s="2">
        <v>792</v>
      </c>
      <c r="B19" s="2" t="s">
        <v>95</v>
      </c>
      <c r="C19" s="2" t="s">
        <v>123</v>
      </c>
    </row>
    <row r="20" spans="1:3">
      <c r="A20" s="2">
        <v>755</v>
      </c>
      <c r="B20" s="2" t="s">
        <v>69</v>
      </c>
      <c r="C20" s="2" t="s">
        <v>124</v>
      </c>
    </row>
    <row r="21" spans="1:3">
      <c r="A21" s="2">
        <v>308</v>
      </c>
      <c r="B21" s="2" t="s">
        <v>21</v>
      </c>
      <c r="C21" s="2" t="s">
        <v>125</v>
      </c>
    </row>
    <row r="22" spans="1:3">
      <c r="A22" s="2">
        <v>277</v>
      </c>
      <c r="B22" s="2" t="s">
        <v>19</v>
      </c>
      <c r="C22" s="2" t="s">
        <v>126</v>
      </c>
    </row>
    <row r="23" spans="1:3">
      <c r="A23" s="2">
        <v>238</v>
      </c>
      <c r="B23" s="2" t="s">
        <v>14</v>
      </c>
      <c r="C23" s="2" t="s">
        <v>127</v>
      </c>
    </row>
    <row r="24" spans="1:3">
      <c r="A24" s="2">
        <v>721</v>
      </c>
      <c r="B24" s="2" t="s">
        <v>61</v>
      </c>
      <c r="C24" s="2" t="s">
        <v>128</v>
      </c>
    </row>
    <row r="25" spans="1:3">
      <c r="A25" s="2">
        <v>751</v>
      </c>
      <c r="B25" s="2" t="s">
        <v>67</v>
      </c>
      <c r="C25" s="2" t="s">
        <v>129</v>
      </c>
    </row>
    <row r="26" spans="1:3">
      <c r="A26" s="2">
        <v>274</v>
      </c>
      <c r="B26" s="2" t="s">
        <v>17</v>
      </c>
      <c r="C26" s="2" t="s">
        <v>130</v>
      </c>
    </row>
    <row r="27" spans="1:3">
      <c r="A27" s="2">
        <v>775</v>
      </c>
      <c r="B27" s="2" t="s">
        <v>89</v>
      </c>
      <c r="C27" s="2" t="s">
        <v>131</v>
      </c>
    </row>
    <row r="28" spans="1:3">
      <c r="A28" s="2">
        <v>650</v>
      </c>
      <c r="B28" s="2" t="s">
        <v>37</v>
      </c>
      <c r="C28" s="2" t="s">
        <v>132</v>
      </c>
    </row>
    <row r="29" spans="1:3">
      <c r="A29" s="2">
        <v>682</v>
      </c>
      <c r="B29" s="2" t="s">
        <v>41</v>
      </c>
      <c r="C29" s="2" t="s">
        <v>133</v>
      </c>
    </row>
    <row r="30" spans="1:3">
      <c r="A30" s="2">
        <v>776</v>
      </c>
      <c r="B30" s="2" t="s">
        <v>90</v>
      </c>
      <c r="C30" s="2" t="s">
        <v>134</v>
      </c>
    </row>
    <row r="31" spans="1:3">
      <c r="A31" s="2">
        <v>236</v>
      </c>
      <c r="B31" s="2" t="s">
        <v>12</v>
      </c>
      <c r="C31" s="2" t="s">
        <v>135</v>
      </c>
    </row>
    <row r="32" spans="1:3">
      <c r="A32" s="2">
        <v>688</v>
      </c>
      <c r="B32" s="2" t="s">
        <v>136</v>
      </c>
      <c r="C32" s="2" t="s">
        <v>137</v>
      </c>
    </row>
    <row r="33" spans="1:3">
      <c r="A33" s="2">
        <v>441</v>
      </c>
      <c r="B33" s="2" t="s">
        <v>23</v>
      </c>
      <c r="C33" s="2" t="s">
        <v>138</v>
      </c>
    </row>
    <row r="34" spans="1:3">
      <c r="A34" s="2">
        <v>807</v>
      </c>
      <c r="B34" s="2" t="s">
        <v>102</v>
      </c>
      <c r="C34" s="2" t="s">
        <v>139</v>
      </c>
    </row>
    <row r="35" spans="1:3">
      <c r="A35" s="2">
        <v>802</v>
      </c>
      <c r="B35" s="2" t="s">
        <v>98</v>
      </c>
      <c r="C35" s="2" t="s">
        <v>140</v>
      </c>
    </row>
    <row r="36" spans="1:3">
      <c r="A36" s="2">
        <v>563</v>
      </c>
      <c r="B36" s="2" t="s">
        <v>35</v>
      </c>
      <c r="C36" s="2" t="s">
        <v>141</v>
      </c>
    </row>
    <row r="37" spans="1:3">
      <c r="A37" s="2">
        <v>762</v>
      </c>
      <c r="B37" s="2" t="s">
        <v>78</v>
      </c>
      <c r="C37" s="2" t="s">
        <v>142</v>
      </c>
    </row>
    <row r="38" spans="1:3">
      <c r="A38" s="2">
        <v>671</v>
      </c>
      <c r="B38" s="2" t="s">
        <v>39</v>
      </c>
      <c r="C38" s="2" t="s">
        <v>143</v>
      </c>
    </row>
    <row r="39" spans="1:3">
      <c r="A39" s="2">
        <v>703</v>
      </c>
      <c r="B39" s="2" t="s">
        <v>49</v>
      </c>
      <c r="C39" s="2" t="s">
        <v>144</v>
      </c>
    </row>
    <row r="40" spans="1:3">
      <c r="A40" s="2">
        <v>805</v>
      </c>
      <c r="B40" s="2" t="s">
        <v>100</v>
      </c>
      <c r="C40" s="2" t="s">
        <v>145</v>
      </c>
    </row>
    <row r="41" spans="1:3">
      <c r="A41" s="2">
        <v>528</v>
      </c>
      <c r="B41" s="2" t="s">
        <v>30</v>
      </c>
      <c r="C41" s="2" t="s">
        <v>146</v>
      </c>
    </row>
    <row r="42" spans="1:3">
      <c r="A42" s="2">
        <v>685</v>
      </c>
      <c r="B42" s="2" t="s">
        <v>43</v>
      </c>
      <c r="C42" s="2" t="s">
        <v>147</v>
      </c>
    </row>
    <row r="43" spans="1:3">
      <c r="A43" s="2">
        <v>759</v>
      </c>
      <c r="B43" s="2" t="s">
        <v>74</v>
      </c>
      <c r="C43" s="2" t="s">
        <v>148</v>
      </c>
    </row>
    <row r="44" spans="1:3">
      <c r="A44" s="2">
        <v>175</v>
      </c>
      <c r="B44" s="2" t="s">
        <v>149</v>
      </c>
      <c r="C44" s="2" t="s">
        <v>150</v>
      </c>
    </row>
    <row r="45" spans="1:3">
      <c r="A45" s="2">
        <v>709</v>
      </c>
      <c r="B45" s="2" t="s">
        <v>55</v>
      </c>
      <c r="C45" s="2" t="s">
        <v>151</v>
      </c>
    </row>
    <row r="46" spans="1:3">
      <c r="A46" s="2">
        <v>760</v>
      </c>
      <c r="B46" s="2" t="s">
        <v>76</v>
      </c>
      <c r="C46" s="2" t="s">
        <v>152</v>
      </c>
    </row>
    <row r="47" spans="1:3">
      <c r="A47" s="2">
        <v>766</v>
      </c>
      <c r="B47" s="2" t="s">
        <v>80</v>
      </c>
      <c r="C47" s="2" t="s">
        <v>153</v>
      </c>
    </row>
    <row r="48" spans="1:3">
      <c r="A48" s="2">
        <v>146</v>
      </c>
      <c r="B48" s="2" t="s">
        <v>8</v>
      </c>
      <c r="C48" s="2" t="s">
        <v>154</v>
      </c>
    </row>
    <row r="49" spans="1:3">
      <c r="A49" s="2">
        <v>750</v>
      </c>
      <c r="B49" s="2" t="s">
        <v>65</v>
      </c>
      <c r="C49" s="2" t="s">
        <v>155</v>
      </c>
    </row>
    <row r="50" spans="1:3">
      <c r="A50" s="2">
        <v>798</v>
      </c>
      <c r="B50" s="2" t="s">
        <v>96</v>
      </c>
      <c r="C50" s="2" t="s">
        <v>156</v>
      </c>
    </row>
    <row r="51" spans="1:3">
      <c r="A51" s="2">
        <v>722</v>
      </c>
      <c r="B51" s="2" t="s">
        <v>63</v>
      </c>
      <c r="C51" s="2" t="s">
        <v>157</v>
      </c>
    </row>
    <row r="52" spans="1:3">
      <c r="A52" s="2">
        <v>22</v>
      </c>
      <c r="B52" s="2" t="s">
        <v>4</v>
      </c>
      <c r="C52" s="2" t="s">
        <v>158</v>
      </c>
    </row>
    <row r="53" spans="1:3">
      <c r="A53" s="2">
        <v>772</v>
      </c>
      <c r="B53" s="2" t="s">
        <v>86</v>
      </c>
      <c r="C53" s="2" t="s">
        <v>159</v>
      </c>
    </row>
    <row r="54" spans="1:3">
      <c r="A54" s="2">
        <v>712</v>
      </c>
      <c r="B54" s="2" t="s">
        <v>57</v>
      </c>
      <c r="C54" s="2" t="s">
        <v>160</v>
      </c>
    </row>
    <row r="55" spans="1:3">
      <c r="A55" s="2">
        <v>97</v>
      </c>
      <c r="B55" s="2" t="s">
        <v>5</v>
      </c>
      <c r="C55" s="2" t="s">
        <v>161</v>
      </c>
    </row>
    <row r="56" spans="1:3">
      <c r="A56" s="2">
        <v>201</v>
      </c>
      <c r="B56" s="2" t="s">
        <v>10</v>
      </c>
      <c r="C56" s="2" t="s">
        <v>162</v>
      </c>
    </row>
    <row r="57" spans="1:3">
      <c r="A57" s="2">
        <v>781</v>
      </c>
      <c r="B57" s="2" t="s">
        <v>94</v>
      </c>
      <c r="C57" s="2" t="s">
        <v>163</v>
      </c>
    </row>
    <row r="58" spans="1:3">
      <c r="A58" s="2">
        <v>767</v>
      </c>
      <c r="B58" s="2" t="s">
        <v>82</v>
      </c>
      <c r="C58" s="2" t="s">
        <v>164</v>
      </c>
    </row>
    <row r="59" spans="1:3">
      <c r="A59" s="2">
        <v>720</v>
      </c>
      <c r="B59" s="2" t="s">
        <v>59</v>
      </c>
      <c r="C59" s="2" t="s">
        <v>165</v>
      </c>
    </row>
    <row r="60" spans="1:3">
      <c r="A60" s="2">
        <v>774</v>
      </c>
      <c r="B60" s="2" t="s">
        <v>88</v>
      </c>
      <c r="C60" s="2" t="s">
        <v>166</v>
      </c>
    </row>
    <row r="61" spans="1:3">
      <c r="A61" s="2">
        <v>771</v>
      </c>
      <c r="B61" s="2" t="s">
        <v>85</v>
      </c>
      <c r="C61" s="2" t="s">
        <v>167</v>
      </c>
    </row>
  </sheetData>
  <autoFilter ref="A1:Z6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showGridLines="0" tabSelected="1" workbookViewId="0">
      <selection activeCell="J10" sqref="J10"/>
    </sheetView>
  </sheetViews>
  <sheetFormatPr defaultRowHeight="15"/>
  <cols>
    <col min="1" max="1" width="5.5703125" customWidth="1"/>
    <col min="2" max="2" width="22.42578125" customWidth="1"/>
    <col min="3" max="3" width="14.85546875" customWidth="1"/>
    <col min="4" max="4" width="10.7109375" customWidth="1"/>
    <col min="5" max="5" width="11.28515625" customWidth="1"/>
    <col min="6" max="6" width="14" bestFit="1" customWidth="1"/>
  </cols>
  <sheetData>
    <row r="1" spans="1:10" ht="15" customHeight="1">
      <c r="A1" s="3" t="s">
        <v>104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169</v>
      </c>
      <c r="G1" s="4" t="s">
        <v>171</v>
      </c>
    </row>
    <row r="2" spans="1:10" ht="15" customHeight="1">
      <c r="A2" s="5">
        <v>441</v>
      </c>
      <c r="B2" s="6" t="s">
        <v>23</v>
      </c>
      <c r="C2" s="6" t="s">
        <v>24</v>
      </c>
      <c r="D2" s="7">
        <v>39630</v>
      </c>
      <c r="E2" s="7">
        <v>31294</v>
      </c>
      <c r="F2" s="8" t="s">
        <v>138</v>
      </c>
      <c r="G2" s="8">
        <f ca="1">DATEDIF(D2,TODAY(),"y")</f>
        <v>17</v>
      </c>
      <c r="I2" s="13"/>
      <c r="J2" t="s">
        <v>172</v>
      </c>
    </row>
    <row r="3" spans="1:10" ht="15" customHeight="1">
      <c r="A3" s="5">
        <v>807</v>
      </c>
      <c r="B3" s="6" t="s">
        <v>102</v>
      </c>
      <c r="C3" s="6" t="s">
        <v>103</v>
      </c>
      <c r="D3" s="7">
        <v>45852</v>
      </c>
      <c r="E3" s="7">
        <v>38933</v>
      </c>
      <c r="F3" s="8" t="s">
        <v>139</v>
      </c>
      <c r="G3" s="8">
        <f t="shared" ref="G3:G42" ca="1" si="0">DATEDIF(D3,TODAY(),"y")</f>
        <v>0</v>
      </c>
      <c r="I3" s="18"/>
      <c r="J3" t="s">
        <v>173</v>
      </c>
    </row>
    <row r="4" spans="1:10" ht="15" customHeight="1">
      <c r="A4" s="5">
        <v>802</v>
      </c>
      <c r="B4" s="6" t="s">
        <v>98</v>
      </c>
      <c r="C4" s="6" t="s">
        <v>99</v>
      </c>
      <c r="D4" s="7">
        <v>45819</v>
      </c>
      <c r="E4" s="7">
        <v>34029</v>
      </c>
      <c r="F4" s="8" t="s">
        <v>140</v>
      </c>
      <c r="G4" s="8">
        <f t="shared" ca="1" si="0"/>
        <v>0</v>
      </c>
      <c r="I4" s="23"/>
      <c r="J4" t="s">
        <v>174</v>
      </c>
    </row>
    <row r="5" spans="1:10" ht="15" customHeight="1">
      <c r="A5" s="9">
        <v>563</v>
      </c>
      <c r="B5" s="10" t="s">
        <v>35</v>
      </c>
      <c r="C5" s="10" t="s">
        <v>36</v>
      </c>
      <c r="D5" s="11">
        <v>40589</v>
      </c>
      <c r="E5" s="11">
        <v>31383</v>
      </c>
      <c r="F5" s="12" t="s">
        <v>141</v>
      </c>
      <c r="G5" s="12">
        <f t="shared" ca="1" si="0"/>
        <v>14</v>
      </c>
      <c r="I5" s="24"/>
      <c r="J5" t="s">
        <v>175</v>
      </c>
    </row>
    <row r="6" spans="1:10" ht="15" customHeight="1">
      <c r="A6" s="5">
        <v>762</v>
      </c>
      <c r="B6" s="6" t="s">
        <v>78</v>
      </c>
      <c r="C6" s="6" t="s">
        <v>79</v>
      </c>
      <c r="D6" s="7">
        <v>45439</v>
      </c>
      <c r="E6" s="7">
        <v>35299</v>
      </c>
      <c r="F6" s="8" t="s">
        <v>142</v>
      </c>
      <c r="G6" s="8">
        <f t="shared" ca="1" si="0"/>
        <v>1</v>
      </c>
    </row>
    <row r="7" spans="1:10" ht="15" customHeight="1">
      <c r="A7" s="5">
        <v>142</v>
      </c>
      <c r="B7" s="6" t="s">
        <v>6</v>
      </c>
      <c r="C7" s="6" t="s">
        <v>7</v>
      </c>
      <c r="D7" s="7">
        <v>36395</v>
      </c>
      <c r="E7" s="7">
        <v>25763</v>
      </c>
      <c r="F7" s="8" t="s">
        <v>114</v>
      </c>
      <c r="G7" s="8">
        <f t="shared" ca="1" si="0"/>
        <v>26</v>
      </c>
    </row>
    <row r="8" spans="1:10" ht="15" customHeight="1">
      <c r="A8" s="5">
        <v>671</v>
      </c>
      <c r="B8" s="6" t="s">
        <v>39</v>
      </c>
      <c r="C8" s="6" t="s">
        <v>40</v>
      </c>
      <c r="D8" s="7">
        <v>43192</v>
      </c>
      <c r="E8" s="7">
        <v>26754</v>
      </c>
      <c r="F8" s="8" t="s">
        <v>143</v>
      </c>
      <c r="G8" s="8">
        <f t="shared" ca="1" si="0"/>
        <v>7</v>
      </c>
    </row>
    <row r="9" spans="1:10" ht="15" customHeight="1">
      <c r="A9" s="15">
        <v>703</v>
      </c>
      <c r="B9" s="14" t="s">
        <v>49</v>
      </c>
      <c r="C9" s="14" t="s">
        <v>50</v>
      </c>
      <c r="D9" s="16">
        <v>43934</v>
      </c>
      <c r="E9" s="16">
        <v>33356</v>
      </c>
      <c r="F9" s="17" t="s">
        <v>144</v>
      </c>
      <c r="G9" s="17">
        <f t="shared" ca="1" si="0"/>
        <v>5</v>
      </c>
    </row>
    <row r="10" spans="1:10" ht="15" customHeight="1">
      <c r="A10" s="19">
        <v>757</v>
      </c>
      <c r="B10" s="20" t="s">
        <v>70</v>
      </c>
      <c r="C10" s="20" t="s">
        <v>71</v>
      </c>
      <c r="D10" s="21">
        <v>45390</v>
      </c>
      <c r="E10" s="21">
        <v>32690</v>
      </c>
      <c r="F10" s="22" t="s">
        <v>115</v>
      </c>
      <c r="G10" s="22">
        <f t="shared" ca="1" si="0"/>
        <v>1</v>
      </c>
    </row>
    <row r="11" spans="1:10" ht="15" customHeight="1">
      <c r="A11" s="9">
        <v>465</v>
      </c>
      <c r="B11" s="10" t="s">
        <v>25</v>
      </c>
      <c r="C11" s="10" t="s">
        <v>26</v>
      </c>
      <c r="D11" s="11">
        <v>39832</v>
      </c>
      <c r="E11" s="11">
        <v>30738</v>
      </c>
      <c r="F11" s="12" t="s">
        <v>116</v>
      </c>
      <c r="G11" s="12">
        <f t="shared" ca="1" si="0"/>
        <v>16</v>
      </c>
    </row>
    <row r="12" spans="1:10" ht="15" customHeight="1">
      <c r="A12" s="5">
        <v>697</v>
      </c>
      <c r="B12" s="6" t="s">
        <v>47</v>
      </c>
      <c r="C12" s="6" t="s">
        <v>48</v>
      </c>
      <c r="D12" s="7">
        <v>43759</v>
      </c>
      <c r="E12" s="7">
        <v>26800</v>
      </c>
      <c r="F12" s="8" t="s">
        <v>107</v>
      </c>
      <c r="G12" s="8">
        <f t="shared" ca="1" si="0"/>
        <v>6</v>
      </c>
    </row>
    <row r="13" spans="1:10" ht="15" customHeight="1">
      <c r="A13" s="9">
        <v>509</v>
      </c>
      <c r="B13" s="10" t="s">
        <v>28</v>
      </c>
      <c r="C13" s="10" t="s">
        <v>29</v>
      </c>
      <c r="D13" s="11">
        <v>40214</v>
      </c>
      <c r="E13" s="11">
        <v>28499</v>
      </c>
      <c r="F13" s="12" t="s">
        <v>108</v>
      </c>
      <c r="G13" s="12">
        <f t="shared" ca="1" si="0"/>
        <v>15</v>
      </c>
    </row>
    <row r="14" spans="1:10" ht="15" customHeight="1">
      <c r="A14" s="25">
        <v>685</v>
      </c>
      <c r="B14" s="26" t="s">
        <v>43</v>
      </c>
      <c r="C14" s="26" t="s">
        <v>44</v>
      </c>
      <c r="D14" s="27">
        <v>43334</v>
      </c>
      <c r="E14" s="27">
        <v>30596</v>
      </c>
      <c r="F14" s="28" t="s">
        <v>147</v>
      </c>
      <c r="G14" s="28">
        <f t="shared" ca="1" si="0"/>
        <v>7</v>
      </c>
    </row>
    <row r="15" spans="1:10" ht="15" customHeight="1">
      <c r="A15" s="5">
        <v>551</v>
      </c>
      <c r="B15" s="6" t="s">
        <v>33</v>
      </c>
      <c r="C15" s="6" t="s">
        <v>34</v>
      </c>
      <c r="D15" s="7">
        <v>40567</v>
      </c>
      <c r="E15" s="7">
        <v>34050</v>
      </c>
      <c r="F15" s="8" t="s">
        <v>117</v>
      </c>
      <c r="G15" s="8">
        <f t="shared" ca="1" si="0"/>
        <v>14</v>
      </c>
    </row>
    <row r="16" spans="1:10" ht="15" customHeight="1">
      <c r="A16" s="5">
        <v>759</v>
      </c>
      <c r="B16" s="6" t="s">
        <v>74</v>
      </c>
      <c r="C16" s="6" t="s">
        <v>75</v>
      </c>
      <c r="D16" s="7">
        <v>45418</v>
      </c>
      <c r="E16" s="7">
        <v>30974</v>
      </c>
      <c r="F16" s="8" t="s">
        <v>148</v>
      </c>
      <c r="G16" s="8">
        <f t="shared" ca="1" si="0"/>
        <v>1</v>
      </c>
    </row>
    <row r="17" spans="1:7" ht="15" customHeight="1">
      <c r="A17" s="25">
        <v>758</v>
      </c>
      <c r="B17" s="26" t="s">
        <v>72</v>
      </c>
      <c r="C17" s="26" t="s">
        <v>73</v>
      </c>
      <c r="D17" s="27">
        <v>45406</v>
      </c>
      <c r="E17" s="27">
        <v>29187</v>
      </c>
      <c r="F17" s="28" t="s">
        <v>170</v>
      </c>
      <c r="G17" s="28">
        <f t="shared" ca="1" si="0"/>
        <v>1</v>
      </c>
    </row>
    <row r="18" spans="1:7" ht="15" customHeight="1">
      <c r="A18" s="5">
        <v>777</v>
      </c>
      <c r="B18" s="6" t="s">
        <v>91</v>
      </c>
      <c r="C18" s="6" t="s">
        <v>92</v>
      </c>
      <c r="D18" s="7">
        <v>45663</v>
      </c>
      <c r="E18" s="7">
        <v>36972</v>
      </c>
      <c r="F18" s="8" t="s">
        <v>118</v>
      </c>
      <c r="G18" s="8">
        <f t="shared" ca="1" si="0"/>
        <v>0</v>
      </c>
    </row>
    <row r="19" spans="1:7" ht="15" customHeight="1">
      <c r="A19" s="25">
        <v>709</v>
      </c>
      <c r="B19" s="26" t="s">
        <v>55</v>
      </c>
      <c r="C19" s="26" t="s">
        <v>56</v>
      </c>
      <c r="D19" s="27">
        <v>44075</v>
      </c>
      <c r="E19" s="27">
        <v>31765</v>
      </c>
      <c r="F19" s="28" t="s">
        <v>151</v>
      </c>
      <c r="G19" s="28">
        <f t="shared" ca="1" si="0"/>
        <v>5</v>
      </c>
    </row>
    <row r="20" spans="1:7" ht="15" customHeight="1">
      <c r="A20" s="5">
        <v>686</v>
      </c>
      <c r="B20" s="6" t="s">
        <v>45</v>
      </c>
      <c r="C20" s="6" t="s">
        <v>46</v>
      </c>
      <c r="D20" s="7">
        <v>43334</v>
      </c>
      <c r="E20" s="7">
        <v>27190</v>
      </c>
      <c r="F20" s="8" t="s">
        <v>109</v>
      </c>
      <c r="G20" s="8">
        <f t="shared" ca="1" si="0"/>
        <v>7</v>
      </c>
    </row>
    <row r="21" spans="1:7" ht="15" customHeight="1">
      <c r="A21" s="19">
        <v>760</v>
      </c>
      <c r="B21" s="20" t="s">
        <v>76</v>
      </c>
      <c r="C21" s="20" t="s">
        <v>77</v>
      </c>
      <c r="D21" s="21">
        <v>45418</v>
      </c>
      <c r="E21" s="21">
        <v>30166</v>
      </c>
      <c r="F21" s="22" t="s">
        <v>152</v>
      </c>
      <c r="G21" s="22">
        <f t="shared" ca="1" si="0"/>
        <v>1</v>
      </c>
    </row>
    <row r="22" spans="1:7" ht="15" customHeight="1">
      <c r="A22" s="5">
        <v>766</v>
      </c>
      <c r="B22" s="6" t="s">
        <v>80</v>
      </c>
      <c r="C22" s="6" t="s">
        <v>81</v>
      </c>
      <c r="D22" s="7">
        <v>45516</v>
      </c>
      <c r="E22" s="7">
        <v>24366</v>
      </c>
      <c r="F22" s="8" t="s">
        <v>153</v>
      </c>
      <c r="G22" s="8">
        <f t="shared" ca="1" si="0"/>
        <v>1</v>
      </c>
    </row>
    <row r="23" spans="1:7" ht="15" customHeight="1">
      <c r="A23" s="5">
        <v>146</v>
      </c>
      <c r="B23" s="6" t="s">
        <v>8</v>
      </c>
      <c r="C23" s="6" t="s">
        <v>9</v>
      </c>
      <c r="D23" s="7">
        <v>36444</v>
      </c>
      <c r="E23" s="7">
        <v>26145</v>
      </c>
      <c r="F23" s="8" t="s">
        <v>154</v>
      </c>
      <c r="G23" s="8">
        <f t="shared" ca="1" si="0"/>
        <v>26</v>
      </c>
    </row>
    <row r="24" spans="1:7" ht="15" customHeight="1">
      <c r="A24" s="5">
        <v>706</v>
      </c>
      <c r="B24" s="6" t="s">
        <v>53</v>
      </c>
      <c r="C24" s="6" t="s">
        <v>54</v>
      </c>
      <c r="D24" s="7">
        <v>43983</v>
      </c>
      <c r="E24" s="7">
        <v>26925</v>
      </c>
      <c r="F24" s="8" t="s">
        <v>106</v>
      </c>
      <c r="G24" s="8">
        <f t="shared" ca="1" si="0"/>
        <v>5</v>
      </c>
    </row>
    <row r="25" spans="1:7" ht="15" customHeight="1">
      <c r="A25" s="25">
        <v>750</v>
      </c>
      <c r="B25" s="26" t="s">
        <v>65</v>
      </c>
      <c r="C25" s="26" t="s">
        <v>66</v>
      </c>
      <c r="D25" s="27">
        <v>45215</v>
      </c>
      <c r="E25" s="27">
        <v>25279</v>
      </c>
      <c r="F25" s="28" t="s">
        <v>155</v>
      </c>
      <c r="G25" s="28">
        <f t="shared" ca="1" si="0"/>
        <v>2</v>
      </c>
    </row>
    <row r="26" spans="1:7" ht="15" customHeight="1">
      <c r="A26" s="5">
        <v>798</v>
      </c>
      <c r="B26" s="6" t="s">
        <v>96</v>
      </c>
      <c r="C26" s="6" t="s">
        <v>97</v>
      </c>
      <c r="D26" s="7">
        <v>45761</v>
      </c>
      <c r="E26" s="7">
        <v>29100</v>
      </c>
      <c r="F26" s="8" t="s">
        <v>156</v>
      </c>
      <c r="G26" s="8">
        <f t="shared" ca="1" si="0"/>
        <v>0</v>
      </c>
    </row>
    <row r="27" spans="1:7" ht="15" customHeight="1">
      <c r="A27" s="25">
        <v>768</v>
      </c>
      <c r="B27" s="26" t="s">
        <v>83</v>
      </c>
      <c r="C27" s="26" t="s">
        <v>84</v>
      </c>
      <c r="D27" s="27">
        <v>45544</v>
      </c>
      <c r="E27" s="27">
        <v>35241</v>
      </c>
      <c r="F27" s="28" t="s">
        <v>119</v>
      </c>
      <c r="G27" s="28">
        <f t="shared" ca="1" si="0"/>
        <v>1</v>
      </c>
    </row>
    <row r="28" spans="1:7" ht="15" customHeight="1">
      <c r="A28" s="9">
        <v>263</v>
      </c>
      <c r="B28" s="10" t="s">
        <v>15</v>
      </c>
      <c r="C28" s="10" t="s">
        <v>16</v>
      </c>
      <c r="D28" s="11">
        <v>38117</v>
      </c>
      <c r="E28" s="11">
        <v>28870</v>
      </c>
      <c r="F28" s="12" t="s">
        <v>110</v>
      </c>
      <c r="G28" s="12">
        <f t="shared" ca="1" si="0"/>
        <v>21</v>
      </c>
    </row>
    <row r="29" spans="1:7" ht="15" customHeight="1">
      <c r="A29" s="25">
        <v>722</v>
      </c>
      <c r="B29" s="26" t="s">
        <v>63</v>
      </c>
      <c r="C29" s="26" t="s">
        <v>64</v>
      </c>
      <c r="D29" s="27">
        <v>44410</v>
      </c>
      <c r="E29" s="27">
        <v>28717</v>
      </c>
      <c r="F29" s="28" t="s">
        <v>157</v>
      </c>
      <c r="G29" s="28">
        <f t="shared" ca="1" si="0"/>
        <v>4</v>
      </c>
    </row>
    <row r="30" spans="1:7" ht="15" customHeight="1">
      <c r="A30" s="5">
        <v>277</v>
      </c>
      <c r="B30" s="6" t="s">
        <v>19</v>
      </c>
      <c r="C30" s="6" t="s">
        <v>20</v>
      </c>
      <c r="D30" s="7">
        <v>38231</v>
      </c>
      <c r="E30" s="7">
        <v>24521</v>
      </c>
      <c r="F30" s="8" t="s">
        <v>126</v>
      </c>
      <c r="G30" s="8">
        <f t="shared" ca="1" si="0"/>
        <v>21</v>
      </c>
    </row>
    <row r="31" spans="1:7" ht="15" customHeight="1">
      <c r="A31" s="19">
        <v>772</v>
      </c>
      <c r="B31" s="20" t="s">
        <v>86</v>
      </c>
      <c r="C31" s="20" t="s">
        <v>87</v>
      </c>
      <c r="D31" s="21">
        <v>45586</v>
      </c>
      <c r="E31" s="21">
        <v>29663</v>
      </c>
      <c r="F31" s="22" t="s">
        <v>159</v>
      </c>
      <c r="G31" s="22">
        <f t="shared" ca="1" si="0"/>
        <v>1</v>
      </c>
    </row>
    <row r="32" spans="1:7" ht="15" customHeight="1">
      <c r="A32" s="25">
        <v>721</v>
      </c>
      <c r="B32" s="26" t="s">
        <v>61</v>
      </c>
      <c r="C32" s="26" t="s">
        <v>62</v>
      </c>
      <c r="D32" s="27">
        <v>44389</v>
      </c>
      <c r="E32" s="27">
        <v>26153</v>
      </c>
      <c r="F32" s="28" t="s">
        <v>128</v>
      </c>
      <c r="G32" s="28">
        <f t="shared" ca="1" si="0"/>
        <v>4</v>
      </c>
    </row>
    <row r="33" spans="1:7" ht="15" customHeight="1">
      <c r="A33" s="5">
        <v>751</v>
      </c>
      <c r="B33" s="6" t="s">
        <v>67</v>
      </c>
      <c r="C33" s="6" t="s">
        <v>68</v>
      </c>
      <c r="D33" s="7">
        <v>45264</v>
      </c>
      <c r="E33" s="7">
        <v>38871</v>
      </c>
      <c r="F33" s="8" t="s">
        <v>129</v>
      </c>
      <c r="G33" s="8">
        <f t="shared" ca="1" si="0"/>
        <v>1</v>
      </c>
    </row>
    <row r="34" spans="1:7" ht="15" customHeight="1">
      <c r="A34" s="5">
        <v>274</v>
      </c>
      <c r="B34" s="6" t="s">
        <v>17</v>
      </c>
      <c r="C34" s="6" t="s">
        <v>18</v>
      </c>
      <c r="D34" s="7">
        <v>38221</v>
      </c>
      <c r="E34" s="7">
        <v>24428</v>
      </c>
      <c r="F34" s="8" t="s">
        <v>130</v>
      </c>
      <c r="G34" s="8">
        <f t="shared" ca="1" si="0"/>
        <v>21</v>
      </c>
    </row>
    <row r="35" spans="1:7" ht="15" customHeight="1">
      <c r="A35" s="5">
        <v>712</v>
      </c>
      <c r="B35" s="6" t="s">
        <v>57</v>
      </c>
      <c r="C35" s="6" t="s">
        <v>58</v>
      </c>
      <c r="D35" s="7">
        <v>44214</v>
      </c>
      <c r="E35" s="7">
        <v>33875</v>
      </c>
      <c r="F35" s="8" t="s">
        <v>160</v>
      </c>
      <c r="G35" s="8">
        <f t="shared" ca="1" si="0"/>
        <v>4</v>
      </c>
    </row>
    <row r="36" spans="1:7" ht="15" customHeight="1">
      <c r="A36" s="5">
        <v>201</v>
      </c>
      <c r="B36" s="6" t="s">
        <v>10</v>
      </c>
      <c r="C36" s="6" t="s">
        <v>11</v>
      </c>
      <c r="D36" s="7">
        <v>37080</v>
      </c>
      <c r="E36" s="7">
        <v>29466</v>
      </c>
      <c r="F36" s="8" t="s">
        <v>162</v>
      </c>
      <c r="G36" s="8">
        <f t="shared" ca="1" si="0"/>
        <v>24</v>
      </c>
    </row>
    <row r="37" spans="1:7" ht="15" customHeight="1">
      <c r="A37" s="25">
        <v>650</v>
      </c>
      <c r="B37" s="26" t="s">
        <v>37</v>
      </c>
      <c r="C37" s="26" t="s">
        <v>38</v>
      </c>
      <c r="D37" s="27">
        <v>41677</v>
      </c>
      <c r="E37" s="27">
        <v>32808</v>
      </c>
      <c r="F37" s="28" t="s">
        <v>132</v>
      </c>
      <c r="G37" s="28">
        <f t="shared" ca="1" si="0"/>
        <v>11</v>
      </c>
    </row>
    <row r="38" spans="1:7" ht="15" customHeight="1">
      <c r="A38" s="5">
        <v>682</v>
      </c>
      <c r="B38" s="6" t="s">
        <v>41</v>
      </c>
      <c r="C38" s="6" t="s">
        <v>42</v>
      </c>
      <c r="D38" s="7">
        <v>43318</v>
      </c>
      <c r="E38" s="7">
        <v>30372</v>
      </c>
      <c r="F38" s="8" t="s">
        <v>133</v>
      </c>
      <c r="G38" s="8">
        <f t="shared" ca="1" si="0"/>
        <v>7</v>
      </c>
    </row>
    <row r="39" spans="1:7" ht="15" customHeight="1">
      <c r="A39" s="5">
        <v>236</v>
      </c>
      <c r="B39" s="6" t="s">
        <v>12</v>
      </c>
      <c r="C39" s="6" t="s">
        <v>13</v>
      </c>
      <c r="D39" s="7">
        <v>37743</v>
      </c>
      <c r="E39" s="7">
        <v>30972</v>
      </c>
      <c r="F39" s="8" t="s">
        <v>135</v>
      </c>
      <c r="G39" s="8">
        <f t="shared" ca="1" si="0"/>
        <v>22</v>
      </c>
    </row>
    <row r="40" spans="1:7" ht="15" customHeight="1">
      <c r="A40" s="9">
        <v>544</v>
      </c>
      <c r="B40" s="10" t="s">
        <v>31</v>
      </c>
      <c r="C40" s="10" t="s">
        <v>32</v>
      </c>
      <c r="D40" s="11">
        <v>40469</v>
      </c>
      <c r="E40" s="11">
        <v>31720</v>
      </c>
      <c r="F40" s="12" t="s">
        <v>121</v>
      </c>
      <c r="G40" s="12">
        <f t="shared" ca="1" si="0"/>
        <v>15</v>
      </c>
    </row>
    <row r="41" spans="1:7" ht="15" customHeight="1">
      <c r="A41" s="25">
        <v>720</v>
      </c>
      <c r="B41" s="26" t="s">
        <v>59</v>
      </c>
      <c r="C41" s="26" t="s">
        <v>60</v>
      </c>
      <c r="D41" s="27">
        <v>44378</v>
      </c>
      <c r="E41" s="27">
        <v>26543</v>
      </c>
      <c r="F41" s="28" t="s">
        <v>165</v>
      </c>
      <c r="G41" s="28">
        <f t="shared" ca="1" si="0"/>
        <v>4</v>
      </c>
    </row>
    <row r="42" spans="1:7" ht="15" customHeight="1">
      <c r="A42" s="5">
        <v>704</v>
      </c>
      <c r="B42" s="6" t="s">
        <v>51</v>
      </c>
      <c r="C42" s="6" t="s">
        <v>52</v>
      </c>
      <c r="D42" s="7">
        <v>43934</v>
      </c>
      <c r="E42" s="7">
        <v>27070</v>
      </c>
      <c r="F42" s="8" t="s">
        <v>122</v>
      </c>
      <c r="G42" s="8">
        <f t="shared" ca="1" si="0"/>
        <v>5</v>
      </c>
    </row>
  </sheetData>
  <autoFilter ref="A1:G42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Efetivo_23102025</vt:lpstr>
      <vt:lpstr>aa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Maclinea</cp:lastModifiedBy>
  <cp:lastPrinted>2025-10-24T16:50:59Z</cp:lastPrinted>
  <dcterms:modified xsi:type="dcterms:W3CDTF">2025-10-28T11:12:41Z</dcterms:modified>
</cp:coreProperties>
</file>