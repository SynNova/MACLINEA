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00_SYNNOVA\00_PROJETOS\MACLINEA\"/>
    </mc:Choice>
  </mc:AlternateContent>
  <xr:revisionPtr revIDLastSave="0" documentId="8_{DC9644FF-6751-4B98-8E28-EBC8FC741267}" xr6:coauthVersionLast="47" xr6:coauthVersionMax="47" xr10:uidLastSave="{00000000-0000-0000-0000-000000000000}"/>
  <bookViews>
    <workbookView xWindow="-28920" yWindow="-120" windowWidth="29040" windowHeight="15720" tabRatio="634" activeTab="9" xr2:uid="{F632A3F8-0C42-42EF-A03B-088EB2629B91}"/>
  </bookViews>
  <sheets>
    <sheet name="Desktops &amp; Notebooks" sheetId="1" r:id="rId1"/>
    <sheet name="Monitores" sheetId="5" r:id="rId2"/>
    <sheet name="Impressoras" sheetId="16" r:id="rId3"/>
    <sheet name="Smartphones" sheetId="4" r:id="rId4"/>
    <sheet name="Linhas" sheetId="14" r:id="rId5"/>
    <sheet name="Licenças" sheetId="9" r:id="rId6"/>
    <sheet name="Senhas IPs" sheetId="10" r:id="rId7"/>
    <sheet name="Acessos" sheetId="15" r:id="rId8"/>
    <sheet name="Wi-Fi" sheetId="13" r:id="rId9"/>
    <sheet name="Serviços Contratados" sheetId="17" r:id="rId10"/>
  </sheets>
  <definedNames>
    <definedName name="_xlnm._FilterDatabase" localSheetId="0" hidden="1">'Desktops &amp; Notebooks'!$B$1:$AX$91</definedName>
    <definedName name="_xlnm._FilterDatabase" localSheetId="4" hidden="1">Linhas!$A$1:$G$1</definedName>
    <definedName name="_xlnm._FilterDatabase" localSheetId="1" hidden="1">Monitores!$A$1:$K$1</definedName>
    <definedName name="_xlnm._FilterDatabase" localSheetId="9" hidden="1">'Serviços Contratados'!$B$2:$U$22</definedName>
    <definedName name="_xlnm._FilterDatabase" localSheetId="3" hidden="1">Smartphones!$B$1:$X$41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2" i="17" l="1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5" i="17"/>
  <c r="N4" i="17"/>
  <c r="N3" i="17"/>
  <c r="N6" i="17"/>
  <c r="O68" i="1" l="1"/>
</calcChain>
</file>

<file path=xl/sharedStrings.xml><?xml version="1.0" encoding="utf-8"?>
<sst xmlns="http://schemas.openxmlformats.org/spreadsheetml/2006/main" count="2477" uniqueCount="1052">
  <si>
    <t>PAT</t>
  </si>
  <si>
    <t>EQUIPAMENTO</t>
  </si>
  <si>
    <t>MARCA</t>
  </si>
  <si>
    <t>MODELO</t>
  </si>
  <si>
    <t>S/N</t>
  </si>
  <si>
    <t>ACESSÓRIOS 1</t>
  </si>
  <si>
    <t>ACESSÓRIOS 2</t>
  </si>
  <si>
    <t>ACESSÓRIOS 4</t>
  </si>
  <si>
    <t>ACESSÓRIOS 5</t>
  </si>
  <si>
    <t>PAT / MONITOR</t>
  </si>
  <si>
    <t>MONITOR</t>
  </si>
  <si>
    <t>NOTEBOOK</t>
  </si>
  <si>
    <t>LENOVO</t>
  </si>
  <si>
    <t>MOUSE S/FIO</t>
  </si>
  <si>
    <t>LOGITECH</t>
  </si>
  <si>
    <t>M170</t>
  </si>
  <si>
    <t>SAMSUNG</t>
  </si>
  <si>
    <t>EMAIL</t>
  </si>
  <si>
    <t>LOCAL</t>
  </si>
  <si>
    <t>HOSTNAME</t>
  </si>
  <si>
    <t>DESKTOP</t>
  </si>
  <si>
    <t>ACER</t>
  </si>
  <si>
    <t>USUÁRIO ANTERIOR</t>
  </si>
  <si>
    <t>USUÁRIO ATUAL</t>
  </si>
  <si>
    <t>QT</t>
  </si>
  <si>
    <t>RESET DE SENHA</t>
  </si>
  <si>
    <t>SIM</t>
  </si>
  <si>
    <t>SETOR</t>
  </si>
  <si>
    <t>RH</t>
  </si>
  <si>
    <t>COMPRAS</t>
  </si>
  <si>
    <t>COMERCIAL</t>
  </si>
  <si>
    <t>PCP</t>
  </si>
  <si>
    <t>FISCAL</t>
  </si>
  <si>
    <t>MAC WF</t>
  </si>
  <si>
    <t>STATUS</t>
  </si>
  <si>
    <t>AUSLAND</t>
  </si>
  <si>
    <t>ENGENHARIA</t>
  </si>
  <si>
    <t>PDM</t>
  </si>
  <si>
    <t>SENHA PDM</t>
  </si>
  <si>
    <t>MCLN-NT-01</t>
  </si>
  <si>
    <t>W9 / MACLINEA</t>
  </si>
  <si>
    <t>W9</t>
  </si>
  <si>
    <t>NITRO V15</t>
  </si>
  <si>
    <t>ADM</t>
  </si>
  <si>
    <t>LUIZ PAULO DE OLIVEIRA VELASQUEZ</t>
  </si>
  <si>
    <t>luiz.velasquez@maclinea.com.br</t>
  </si>
  <si>
    <t>CONTA</t>
  </si>
  <si>
    <t>maclineaendpoint@gmail.com</t>
  </si>
  <si>
    <t>SENHA</t>
  </si>
  <si>
    <t>@Maclinea#2025$$</t>
  </si>
  <si>
    <t>USUARIO</t>
  </si>
  <si>
    <t>41 98889 4288</t>
  </si>
  <si>
    <t>SMARTPHONE</t>
  </si>
  <si>
    <t>CORPORATIVO</t>
  </si>
  <si>
    <t>A25 SM-A256E/DSN</t>
  </si>
  <si>
    <t>RXCX804FGNE</t>
  </si>
  <si>
    <t>IMEI 1</t>
  </si>
  <si>
    <t>IMEI 2</t>
  </si>
  <si>
    <t>351816150164683</t>
  </si>
  <si>
    <t>PATRICIA CRISTINA ZORZI</t>
  </si>
  <si>
    <t>E-MAIL</t>
  </si>
  <si>
    <t>patrcia.zorzi@maclinea.com.br</t>
  </si>
  <si>
    <t>maclinecomercial@gmail.com</t>
  </si>
  <si>
    <t>JOÃO OCTAVIO DE LIMA</t>
  </si>
  <si>
    <t>OBSERVAÇÃOES</t>
  </si>
  <si>
    <t>joao.lima@maclinea.com.br</t>
  </si>
  <si>
    <t>joao.lima</t>
  </si>
  <si>
    <t>NOVO</t>
  </si>
  <si>
    <t>TAMANHO</t>
  </si>
  <si>
    <t>0C:CC:47:EB:52:A4</t>
  </si>
  <si>
    <t>C0:45:32:B1:60:8F</t>
  </si>
  <si>
    <t>NHQQDAL007438022299Z00</t>
  </si>
  <si>
    <t>M179</t>
  </si>
  <si>
    <t>2439ZEYDRZS8</t>
  </si>
  <si>
    <t>F24T350FHLMZD</t>
  </si>
  <si>
    <t>Y4SKHX5X914625J</t>
  </si>
  <si>
    <t>TAIANE BARBOZA DE OLIVEIRA</t>
  </si>
  <si>
    <t>taiane.oliveira@maclinea.com.br</t>
  </si>
  <si>
    <t>LUIZ FERNANDO MACHADO</t>
  </si>
  <si>
    <t>ALMOXARIFADO</t>
  </si>
  <si>
    <t>ICCID</t>
  </si>
  <si>
    <t>89550531460000986309</t>
  </si>
  <si>
    <t>OPERADORA</t>
  </si>
  <si>
    <t>TIM</t>
  </si>
  <si>
    <t>CLARO</t>
  </si>
  <si>
    <t>PIN</t>
  </si>
  <si>
    <t>PIN2</t>
  </si>
  <si>
    <t>PUK</t>
  </si>
  <si>
    <t>PUK2</t>
  </si>
  <si>
    <t>maclineaalmoxarifado@gmail.com</t>
  </si>
  <si>
    <t>41 98889 4551</t>
  </si>
  <si>
    <t>patricia.zorzi@maclinea.com.br</t>
  </si>
  <si>
    <t>2C:7B:A0:68:62:C6</t>
  </si>
  <si>
    <t>60:C7:27:19:B4:B9</t>
  </si>
  <si>
    <t>MCLN-NT-02</t>
  </si>
  <si>
    <t>PE0D00JT</t>
  </si>
  <si>
    <t>OBSERVAÇÕES</t>
  </si>
  <si>
    <t>SANITO MORETTI</t>
  </si>
  <si>
    <t>MCLN-NT-03</t>
  </si>
  <si>
    <t>60:45:2E:2A:32:85</t>
  </si>
  <si>
    <t>60:C7:27:1F:72:84</t>
  </si>
  <si>
    <t>THINKBOOK 14 G6 IRL</t>
  </si>
  <si>
    <t>PE0DAD4H</t>
  </si>
  <si>
    <t>maclineamontagem@gmail.com</t>
  </si>
  <si>
    <t>41 98889 4574</t>
  </si>
  <si>
    <t>EDSON DE OLIVEIRA BRASIL</t>
  </si>
  <si>
    <t>MONTAGEM</t>
  </si>
  <si>
    <t>89550531460000986390</t>
  </si>
  <si>
    <t>RXCX905J1ZX</t>
  </si>
  <si>
    <t>351816150477333</t>
  </si>
  <si>
    <t>351818860477330</t>
  </si>
  <si>
    <t>RXCX905J2MR</t>
  </si>
  <si>
    <t>351816150477556</t>
  </si>
  <si>
    <t>351818860477556</t>
  </si>
  <si>
    <t>FE80:2F0:68C5:6A35:5EF2</t>
  </si>
  <si>
    <t>64:1B:2F:BE:01:31</t>
  </si>
  <si>
    <t>MAC IPV4</t>
  </si>
  <si>
    <t>MAC IPV6</t>
  </si>
  <si>
    <t>FE80:B99A:3A11:520B:366D</t>
  </si>
  <si>
    <t>64:1B:2F:BE:01:05</t>
  </si>
  <si>
    <t>SUEMAR JOSE DA COSTA</t>
  </si>
  <si>
    <t>suemar.costa@maclinea.com.br</t>
  </si>
  <si>
    <t>MCLN-NT-04</t>
  </si>
  <si>
    <t>2C:7B:A0:68:62:76</t>
  </si>
  <si>
    <t>60:C7:27:19:B4:5C</t>
  </si>
  <si>
    <t>PE0D00J4</t>
  </si>
  <si>
    <t>sanito.moretti@maclinea.com.br</t>
  </si>
  <si>
    <t>ARLETE DOS SANTOS MELO</t>
  </si>
  <si>
    <t>MAGDA LUCIA GIACOMELLI</t>
  </si>
  <si>
    <t>FINANCEIRO</t>
  </si>
  <si>
    <t>NILTON CESAR DE ARAUJO</t>
  </si>
  <si>
    <t>CONTROLADORIA</t>
  </si>
  <si>
    <t>MAIKON ROBERTO CARDOZO TESSARO</t>
  </si>
  <si>
    <t>RAYANNE CARRARA MAZIM IANCOSKI</t>
  </si>
  <si>
    <t>CINTIA BARBARA DA CUNHA</t>
  </si>
  <si>
    <t>DRT INDUSTRIAL</t>
  </si>
  <si>
    <t>FLAVIO AZANHA</t>
  </si>
  <si>
    <t>DRT EXECUTIVO</t>
  </si>
  <si>
    <t>JOAO GINO</t>
  </si>
  <si>
    <t>FÁBRICA</t>
  </si>
  <si>
    <t>OFFICE</t>
  </si>
  <si>
    <t>MARIA EDUARDA DRUZYK</t>
  </si>
  <si>
    <t>ASS TÉCNICA</t>
  </si>
  <si>
    <t>TATIANE APARECIDA FARIAS</t>
  </si>
  <si>
    <t>Nº</t>
  </si>
  <si>
    <t>VALOR OFFICE R$</t>
  </si>
  <si>
    <t>TECLADO S/FIO</t>
  </si>
  <si>
    <t>maclinea.italia@gmail.com</t>
  </si>
  <si>
    <t>DIRETORIA</t>
  </si>
  <si>
    <t>41 99759 3295</t>
  </si>
  <si>
    <t>RXCX806Y9FN</t>
  </si>
  <si>
    <t>351816150313637</t>
  </si>
  <si>
    <t>351818860313634</t>
  </si>
  <si>
    <t>16:40:3A:86:8C:AF</t>
  </si>
  <si>
    <t>FE80:1440:3AFF:FE86:8CAF</t>
  </si>
  <si>
    <t>3636</t>
  </si>
  <si>
    <t>0855</t>
  </si>
  <si>
    <t>89152654</t>
  </si>
  <si>
    <t>08007605</t>
  </si>
  <si>
    <t>89550531460000986291</t>
  </si>
  <si>
    <t>PE0D00KF</t>
  </si>
  <si>
    <t>2C:7B:A0:4A:EE:62</t>
  </si>
  <si>
    <t>60:C7:27:19:B5:02</t>
  </si>
  <si>
    <t>MCLN-NT-05</t>
  </si>
  <si>
    <t>magda.giacomelli@maclinea.com.br</t>
  </si>
  <si>
    <t>MCLN-DSK-01</t>
  </si>
  <si>
    <t>60:C7:27:19:5C:E7</t>
  </si>
  <si>
    <t>PE0CP8NR</t>
  </si>
  <si>
    <t>CHAVE OFFICE</t>
  </si>
  <si>
    <t>BXFQJ-64NQF-HC6DV-6HPRP-7496Q</t>
  </si>
  <si>
    <t>2435ZEE9Z4Q8</t>
  </si>
  <si>
    <t>M235</t>
  </si>
  <si>
    <t>2436CE3E9168</t>
  </si>
  <si>
    <t>24"</t>
  </si>
  <si>
    <t>USUÁRIO</t>
  </si>
  <si>
    <t>Y4SKHX5X917698P</t>
  </si>
  <si>
    <t>MOUSE C/FIO</t>
  </si>
  <si>
    <t>TECLADO C/FIO</t>
  </si>
  <si>
    <t>8SSD50L79988AVLC3B8A6KJ</t>
  </si>
  <si>
    <t>KU-1619</t>
  </si>
  <si>
    <t>8SSM51M37185AVLC3ALADHB</t>
  </si>
  <si>
    <t>SM-8823</t>
  </si>
  <si>
    <t>MCLN-DSK-02</t>
  </si>
  <si>
    <t>MCLN-DSK-03</t>
  </si>
  <si>
    <t>MCLN-DSK-04</t>
  </si>
  <si>
    <t>JOSE ALEXANDRE COELHO</t>
  </si>
  <si>
    <t>VENDAS PEÇAS</t>
  </si>
  <si>
    <t>MCLN-DSK-05</t>
  </si>
  <si>
    <t>LUCAS LICHTBLAU</t>
  </si>
  <si>
    <t>lucas.lichtblau@maclinea.com.br</t>
  </si>
  <si>
    <t>flavio.azanha@maclinea.com.br</t>
  </si>
  <si>
    <t>maria.druzyk@maclinea.com.br</t>
  </si>
  <si>
    <t>TOTEM</t>
  </si>
  <si>
    <t>ELÉTRICA</t>
  </si>
  <si>
    <t>USINAGEM</t>
  </si>
  <si>
    <t>X</t>
  </si>
  <si>
    <t>JAIR MEIRELES DA SILVA</t>
  </si>
  <si>
    <t>PORTARIA</t>
  </si>
  <si>
    <t>PÁTIO</t>
  </si>
  <si>
    <t>TI</t>
  </si>
  <si>
    <t>QUALIDADE</t>
  </si>
  <si>
    <t>ESTAGIÁRIA</t>
  </si>
  <si>
    <t>MARKETING</t>
  </si>
  <si>
    <t>OK</t>
  </si>
  <si>
    <t>PE0CP962</t>
  </si>
  <si>
    <t>60:C7:27:19:2C:7F</t>
  </si>
  <si>
    <t>NRCYM-TMT2F-92YXB-THJ3B-92B23</t>
  </si>
  <si>
    <t>8SSM51M37185AVLC41BD76B</t>
  </si>
  <si>
    <t>8SSD50L79988AVLC3B8A6KE</t>
  </si>
  <si>
    <t>tatiane.farias@maclinea.com.br</t>
  </si>
  <si>
    <t>8SSD50L79988AVLC3B8A6HG</t>
  </si>
  <si>
    <t>8SSM51M37185AVLC3ALADGS</t>
  </si>
  <si>
    <t>60:C7:27:18:E9:8B</t>
  </si>
  <si>
    <t>PE0CP7W2</t>
  </si>
  <si>
    <t>PPJR6-QDN8V-3CGCP-R26BB-8FDTQ</t>
  </si>
  <si>
    <t>MCLN-DSK-06</t>
  </si>
  <si>
    <t>60:C7:27:19:09:54</t>
  </si>
  <si>
    <t>PE0CP8NW</t>
  </si>
  <si>
    <t>8SSM51M37185AVLC41BD8F9</t>
  </si>
  <si>
    <t>8SSD50L79988AVLC44HA942</t>
  </si>
  <si>
    <t>maclinea.ti@gmail.com</t>
  </si>
  <si>
    <t>41 99997 1415</t>
  </si>
  <si>
    <t>maclinea.compras@gmail.com</t>
  </si>
  <si>
    <t>SUEMAR JOSÉ DA COSTA</t>
  </si>
  <si>
    <t>41 99800 7069</t>
  </si>
  <si>
    <t>A25 SM-A256E/DSM</t>
  </si>
  <si>
    <t>6833</t>
  </si>
  <si>
    <t>93409404</t>
  </si>
  <si>
    <t>92519910</t>
  </si>
  <si>
    <t>89550531460000986275</t>
  </si>
  <si>
    <t>0110</t>
  </si>
  <si>
    <t>0052</t>
  </si>
  <si>
    <t>36227108</t>
  </si>
  <si>
    <t>09777380</t>
  </si>
  <si>
    <t>89550531460000986267</t>
  </si>
  <si>
    <t>RXCX804FMFL</t>
  </si>
  <si>
    <t>351816150166266</t>
  </si>
  <si>
    <t>351818860166263</t>
  </si>
  <si>
    <t>3E:8C:C8:F2:78:1C</t>
  </si>
  <si>
    <t>FE80:3C8C:C8FF:FEF2:781C</t>
  </si>
  <si>
    <t>maclinea.cp@gmail.com</t>
  </si>
  <si>
    <t>maclinea.cps@gmail.com</t>
  </si>
  <si>
    <t>maclinea.pcp@gmail.com</t>
  </si>
  <si>
    <t>41 98889 7233</t>
  </si>
  <si>
    <t>41 99133 5524</t>
  </si>
  <si>
    <t>42:8A:58:07:62:58</t>
  </si>
  <si>
    <t>FE80:408A:58FF:FE07:6258</t>
  </si>
  <si>
    <t>RXCX804FKYE</t>
  </si>
  <si>
    <t>351816150165763</t>
  </si>
  <si>
    <t>351818860165760</t>
  </si>
  <si>
    <t>CA:0B:7C:61:5F:30</t>
  </si>
  <si>
    <t>FE80:C80B:7CFF:FE61:5F30</t>
  </si>
  <si>
    <t>RXCX804FK6D</t>
  </si>
  <si>
    <t>351816150165516</t>
  </si>
  <si>
    <t>351818860165513</t>
  </si>
  <si>
    <t>62:96:CA:45:87:CA</t>
  </si>
  <si>
    <t>FE80:6096:CAFF:FE45:87CE</t>
  </si>
  <si>
    <t>RXCX804G96F</t>
  </si>
  <si>
    <t>351818860173103</t>
  </si>
  <si>
    <t>351816150173106</t>
  </si>
  <si>
    <t>89550531460000986382</t>
  </si>
  <si>
    <t>5493</t>
  </si>
  <si>
    <t>80851332</t>
  </si>
  <si>
    <t>05399833</t>
  </si>
  <si>
    <t>89550531460000986283</t>
  </si>
  <si>
    <t>7824</t>
  </si>
  <si>
    <t>19564339</t>
  </si>
  <si>
    <t>45284105</t>
  </si>
  <si>
    <t>89550531460000986259</t>
  </si>
  <si>
    <t>7219</t>
  </si>
  <si>
    <t>17191147</t>
  </si>
  <si>
    <t>92387698</t>
  </si>
  <si>
    <t>NUMERO</t>
  </si>
  <si>
    <t>MCLN-DSK-07</t>
  </si>
  <si>
    <t>04:EC:D8:E7:FC:12</t>
  </si>
  <si>
    <t>PE0CP969</t>
  </si>
  <si>
    <t>8SSM51M37185AVLC41BD5X1</t>
  </si>
  <si>
    <t>8SSD50L79988AVLC3B8A6G7</t>
  </si>
  <si>
    <t>nilton.araujo@maclinea.com.br</t>
  </si>
  <si>
    <t>ANYDESK</t>
  </si>
  <si>
    <t>PE0CP8NS</t>
  </si>
  <si>
    <t>60:C7:27:19:5C:E8</t>
  </si>
  <si>
    <t>41 99117 5928</t>
  </si>
  <si>
    <t>MAYCON ROBERTO CARDOZO</t>
  </si>
  <si>
    <t>RAYANE CARRARA MAZIM IANCOSKI</t>
  </si>
  <si>
    <t>APOIO TOTEM</t>
  </si>
  <si>
    <t>HP</t>
  </si>
  <si>
    <t>HP PRO 3130MT</t>
  </si>
  <si>
    <t>BRG131FH7H</t>
  </si>
  <si>
    <t>MACLINEA</t>
  </si>
  <si>
    <t>USADO</t>
  </si>
  <si>
    <t>SEM SSD</t>
  </si>
  <si>
    <t>MCLN-DSK-11</t>
  </si>
  <si>
    <t>2C:41:38:2B:3C:1C</t>
  </si>
  <si>
    <t>maclinea.rh@gmail.com</t>
  </si>
  <si>
    <t>joao.gino@maclinea.com</t>
  </si>
  <si>
    <t>edson.brasil@maclinea.com</t>
  </si>
  <si>
    <t>luiz.machado@maclinea.com</t>
  </si>
  <si>
    <t>jose.coelho@maclinea.com</t>
  </si>
  <si>
    <t>jair.silva@maclinea.com</t>
  </si>
  <si>
    <t>maiko.terraro@maclinea.com</t>
  </si>
  <si>
    <t>rayanne.mazim@maclinea.com</t>
  </si>
  <si>
    <t>cintia.cunha@maclinea.com</t>
  </si>
  <si>
    <t>GEISIEL WALEC KRACOSKI</t>
  </si>
  <si>
    <t>geisiel.walec@maclinea.com.br</t>
  </si>
  <si>
    <t>PE0902RM</t>
  </si>
  <si>
    <t>MCLN-NT-07</t>
  </si>
  <si>
    <t>IDEAPAD GAMING 15IMH05</t>
  </si>
  <si>
    <t>2435ZEG9TJA8</t>
  </si>
  <si>
    <t>2436CE3E99A8</t>
  </si>
  <si>
    <t>64:1C:67:EA:42:EC</t>
  </si>
  <si>
    <t>48:68:4A:D6:AA:5B</t>
  </si>
  <si>
    <t>LG</t>
  </si>
  <si>
    <t>24MP400</t>
  </si>
  <si>
    <t>401AZSPCV422</t>
  </si>
  <si>
    <t>89550531460000986317</t>
  </si>
  <si>
    <t>6189</t>
  </si>
  <si>
    <t>60020559</t>
  </si>
  <si>
    <t>89409942</t>
  </si>
  <si>
    <t>41 98862 5970</t>
  </si>
  <si>
    <t>LN</t>
  </si>
  <si>
    <t>FE80:345B:7BFF:FEA5:5ED2</t>
  </si>
  <si>
    <t>351818860164680</t>
  </si>
  <si>
    <t>maclinea.marketing@gmail.com
marketing.maclinea@gmail.com</t>
  </si>
  <si>
    <t>maclinea.engenharia@gmail.com</t>
  </si>
  <si>
    <t>5569</t>
  </si>
  <si>
    <t>69844970</t>
  </si>
  <si>
    <t>61108093</t>
  </si>
  <si>
    <t>895505314600000986374</t>
  </si>
  <si>
    <t>8955</t>
  </si>
  <si>
    <t>23775653</t>
  </si>
  <si>
    <t>25802817</t>
  </si>
  <si>
    <t>89550531460000986408</t>
  </si>
  <si>
    <t>maclinea.qualidade@gmail.com</t>
  </si>
  <si>
    <t>41 98889 4535</t>
  </si>
  <si>
    <t>RXCX804FGHV</t>
  </si>
  <si>
    <t>351816150164634</t>
  </si>
  <si>
    <t>351818860164631</t>
  </si>
  <si>
    <t>26:C0:74:94:6D:4D</t>
  </si>
  <si>
    <t>FE80:24C0:74FF:FE94:6D4D</t>
  </si>
  <si>
    <t>JOÃO OCTAVIO LIMA</t>
  </si>
  <si>
    <t>41 98889 7239</t>
  </si>
  <si>
    <t>RXCX804G91L</t>
  </si>
  <si>
    <t>351816150173056</t>
  </si>
  <si>
    <t>MCLN-DSK-08</t>
  </si>
  <si>
    <t>THINKCENTRE NEO 50S GEN4</t>
  </si>
  <si>
    <t>PE0CPHZP</t>
  </si>
  <si>
    <t>60:C7:27:19:C7:C2</t>
  </si>
  <si>
    <t>SM-8822</t>
  </si>
  <si>
    <t>KRCN9-XJGRH-8DFQY-YBKMB-39JC3</t>
  </si>
  <si>
    <t>8SSD50L79988AVLC3B8A6G9</t>
  </si>
  <si>
    <t>8SSM51M37185AVLC41BD5VP</t>
  </si>
  <si>
    <t>DEKTOP</t>
  </si>
  <si>
    <t>SM-9923</t>
  </si>
  <si>
    <t>C644N-HPT63-DP6YW-FDVMY-WHRP3</t>
  </si>
  <si>
    <t>PE0CP8PV</t>
  </si>
  <si>
    <t>60:C7:27:19:08:BD</t>
  </si>
  <si>
    <t>8SSM51M37185AVLC415D6H6</t>
  </si>
  <si>
    <t>855D50L79988AVLC3B8A6HN</t>
  </si>
  <si>
    <t>PE0CP8NJ</t>
  </si>
  <si>
    <t>8SSD50L79988AVLC3B8A6HE</t>
  </si>
  <si>
    <t>8SSM51M37185AVLC41BD7AW</t>
  </si>
  <si>
    <t>Y4SKHX5X914522J</t>
  </si>
  <si>
    <t>60:C7:27:19:5D:38</t>
  </si>
  <si>
    <t>MCLN-DSK-09</t>
  </si>
  <si>
    <t>MCLN-DSK-10</t>
  </si>
  <si>
    <t>CUSTOS</t>
  </si>
  <si>
    <t>60:C7:27:19:76:5A</t>
  </si>
  <si>
    <t>PE0CP96C</t>
  </si>
  <si>
    <t>855M51M37185AVLC415DAYC</t>
  </si>
  <si>
    <t>8SSD50L79988AVLC3BFA6DS</t>
  </si>
  <si>
    <t>Y4SKHX5X915957J</t>
  </si>
  <si>
    <t>MCLN-DSK-12</t>
  </si>
  <si>
    <t>PRODESK 400 G5 SFF</t>
  </si>
  <si>
    <t>LS22F350FHLMZD</t>
  </si>
  <si>
    <t>Y4F7HX5T702369T</t>
  </si>
  <si>
    <t>BRJ847ZBHL</t>
  </si>
  <si>
    <t>FCR6H-VNGY6-MQRF8-9GMVM-FF96Q</t>
  </si>
  <si>
    <t>JORGE LUIS DOS SANTOS</t>
  </si>
  <si>
    <t>10:62:E5:DD:FE:5D</t>
  </si>
  <si>
    <t>MK120</t>
  </si>
  <si>
    <t>MK-120</t>
  </si>
  <si>
    <t>2344SC31YR18</t>
  </si>
  <si>
    <t>HS337HA</t>
  </si>
  <si>
    <t>2436CE3E99B8</t>
  </si>
  <si>
    <t>2835ZE49THW8</t>
  </si>
  <si>
    <t>PST</t>
  </si>
  <si>
    <t>OUTLOOK</t>
  </si>
  <si>
    <t>HP/GENERICO</t>
  </si>
  <si>
    <t>HP PRO 3500</t>
  </si>
  <si>
    <t>BRG316F0RV</t>
  </si>
  <si>
    <t>S.O.</t>
  </si>
  <si>
    <t>CHAVE</t>
  </si>
  <si>
    <t>VK7JG-NPHTM-C97JM-9MPGT-3V66T</t>
  </si>
  <si>
    <t>MCLN-DSK-13</t>
  </si>
  <si>
    <t>WINDOWS 11 PRO</t>
  </si>
  <si>
    <t>A8:5E:45:1E:15:47</t>
  </si>
  <si>
    <t>UPGRADE (PG/MB/8GB)</t>
  </si>
  <si>
    <t>DDV ELETRICAL</t>
  </si>
  <si>
    <t>NTBPH-Q398W-XWTTB-W47WT-Y96KD</t>
  </si>
  <si>
    <t>WINDOWS 10 PRO</t>
  </si>
  <si>
    <t>MCLN-DSK-14</t>
  </si>
  <si>
    <t>HP PRO 3410</t>
  </si>
  <si>
    <t>BRG139FFW6</t>
  </si>
  <si>
    <t>E0:69:95:ED:6E:6E</t>
  </si>
  <si>
    <t>I3-2100/8GB/SSD256GB</t>
  </si>
  <si>
    <t>MCLN-DSK-15</t>
  </si>
  <si>
    <t>PRODESK 400 G3 SFF</t>
  </si>
  <si>
    <t>BRJ63278H1</t>
  </si>
  <si>
    <t>ANTONIO AGUSTO PASSOS MATWICZKI</t>
  </si>
  <si>
    <t>HBFKF-NFBFR-29YW4-68X6Q-BG7GQ</t>
  </si>
  <si>
    <t>@Maclinea#2025$$
AdmMaclinea#2025
@Marketing#2025$$
@Comercial#2025</t>
  </si>
  <si>
    <t>I3-6100/8GB/SSD256GB</t>
  </si>
  <si>
    <t>70:5A:OF:69:11:21
14:EB:B6:9F:03:C7</t>
  </si>
  <si>
    <t>COMPAQ</t>
  </si>
  <si>
    <t>MCLN-DSK-16</t>
  </si>
  <si>
    <t>BRG047FLZN</t>
  </si>
  <si>
    <t>COMPAQ 300B MT</t>
  </si>
  <si>
    <t>MCLN-DSK-17</t>
  </si>
  <si>
    <t>BRG111F1MF</t>
  </si>
  <si>
    <t>78:E3:B5:E8:B1:2F</t>
  </si>
  <si>
    <t>I3-550/8G/SSD240</t>
  </si>
  <si>
    <t>A8:5E:45:A3:EF:A7</t>
  </si>
  <si>
    <t>WINDOWS 10 SL</t>
  </si>
  <si>
    <t>MCLN-NT-08</t>
  </si>
  <si>
    <t>DELL</t>
  </si>
  <si>
    <t>I5-7200/8GB/SSD480GB</t>
  </si>
  <si>
    <t>NÃO</t>
  </si>
  <si>
    <t>WINDOWS 7 PRO</t>
  </si>
  <si>
    <t>MCLN-DSK-30</t>
  </si>
  <si>
    <t>1C:C1:DE:DB:F8:BD</t>
  </si>
  <si>
    <t>DV2390 MICROTOWER</t>
  </si>
  <si>
    <t>BRG025FH65</t>
  </si>
  <si>
    <t>C2D/4G/HD500GB</t>
  </si>
  <si>
    <t>EQUIPAMENTO PARA EDIÇÃO DE NOTEPAD</t>
  </si>
  <si>
    <t>INSPIRION 15 3567</t>
  </si>
  <si>
    <t>KLEBER BORGES</t>
  </si>
  <si>
    <t>Y4SKHX5X914328D</t>
  </si>
  <si>
    <t>Y4SKHX5X</t>
  </si>
  <si>
    <t>F24T350FHKMZD</t>
  </si>
  <si>
    <t>Y4SKHX5X916171Y</t>
  </si>
  <si>
    <t>MCLN-DSK-29</t>
  </si>
  <si>
    <t>HP PRO 3500MT</t>
  </si>
  <si>
    <t>BRG316F0RX</t>
  </si>
  <si>
    <t>50:3E:AA:02:6E:10
D8:9D:67:00:96:D7</t>
  </si>
  <si>
    <t>2C:41:38:ED:4D:54</t>
  </si>
  <si>
    <t>BRG131FH3Z</t>
  </si>
  <si>
    <t>MCLN-DSK-28</t>
  </si>
  <si>
    <t>GENÉRICO</t>
  </si>
  <si>
    <t>INTEL</t>
  </si>
  <si>
    <t>SECRETÁRIA</t>
  </si>
  <si>
    <t>I5-11400/16GB/SSD120GB</t>
  </si>
  <si>
    <t>KNPPY-FPBF3-WPPB9-99BBV-YY49G</t>
  </si>
  <si>
    <t>58:11:22:8F:D2:4D</t>
  </si>
  <si>
    <t>I3-3220/8GB/SSD256GB</t>
  </si>
  <si>
    <t>D0:94:66:AF:99:51</t>
  </si>
  <si>
    <t>D8:9C:67:FE:99:FD</t>
  </si>
  <si>
    <t>6XQXFV2</t>
  </si>
  <si>
    <t>K2PXN-MYK2Y-MKKB6-C72QC-3YHYP</t>
  </si>
  <si>
    <t>BRL1369J42</t>
  </si>
  <si>
    <t>HP V19B</t>
  </si>
  <si>
    <t>18"</t>
  </si>
  <si>
    <t>B1930N</t>
  </si>
  <si>
    <t>PU19HXNZ804762H</t>
  </si>
  <si>
    <t>RBDHN-WMQ74-9WV6P-TQR6T-D3TKD</t>
  </si>
  <si>
    <t>2WNYH-KWGDM-4JFGV-2F7HH-HXJC3</t>
  </si>
  <si>
    <t>PHILIPS</t>
  </si>
  <si>
    <t>196VLSB/57</t>
  </si>
  <si>
    <t>AF002222058780</t>
  </si>
  <si>
    <t>2C:41:38:2B:36:1C</t>
  </si>
  <si>
    <t>MCLN-DSK-18</t>
  </si>
  <si>
    <t>I3-550/8G/SSD120</t>
  </si>
  <si>
    <t>MK235</t>
  </si>
  <si>
    <t>2442ZEFD59G8</t>
  </si>
  <si>
    <t>2446CENONLX8</t>
  </si>
  <si>
    <t>MCLN-DSK-19</t>
  </si>
  <si>
    <t>GUSTAVO LUIS ROCHEMBACH</t>
  </si>
  <si>
    <t>HQBK6-BTNR8-CVPTY-C6QQQ-G83GY</t>
  </si>
  <si>
    <t>SERVER 2022 STD</t>
  </si>
  <si>
    <t>FNVTH-G6BD6-QPK37-T8RTB-BBK7J</t>
  </si>
  <si>
    <t>SERVER 2019 STD</t>
  </si>
  <si>
    <t>RVVNG-YCWXT-QHVP6-3MKYJ-K2G4D</t>
  </si>
  <si>
    <t>SERVER 2016 STD</t>
  </si>
  <si>
    <t>MCWK3-N9CXX-64294-XGDMF-KBVYC</t>
  </si>
  <si>
    <t>SQL 2022 STD</t>
  </si>
  <si>
    <t>YK2M6-6688V-XDNQG-F7BP9-YD2M6</t>
  </si>
  <si>
    <t>DAYANE SOARES DA SILVA
MICHELLE DO VALE</t>
  </si>
  <si>
    <t>ANA PAULA DE OLIVEIRA MARCELINO</t>
  </si>
  <si>
    <t>ana.marcelino@maclinea.com.br</t>
  </si>
  <si>
    <t>gustavo.rochembach</t>
  </si>
  <si>
    <t>GLR</t>
  </si>
  <si>
    <t>JOSOEL CAMARGO DA SILVA</t>
  </si>
  <si>
    <t>josoel.silva@maclinea.com.br</t>
  </si>
  <si>
    <t>VENDEDOR EXT</t>
  </si>
  <si>
    <t>JCS</t>
  </si>
  <si>
    <t>EFA</t>
  </si>
  <si>
    <t>ASSTEC</t>
  </si>
  <si>
    <t>RXCX804G93T</t>
  </si>
  <si>
    <t>351816150173072</t>
  </si>
  <si>
    <t>41 98856 8278</t>
  </si>
  <si>
    <t>89550447000030744048</t>
  </si>
  <si>
    <t>1010</t>
  </si>
  <si>
    <t>93290070</t>
  </si>
  <si>
    <t>10755904</t>
  </si>
  <si>
    <t>maclinea.asstec@gmail.com</t>
  </si>
  <si>
    <t>351818860179079</t>
  </si>
  <si>
    <t>FRANCISCO QUEIROZ VIEIRA</t>
  </si>
  <si>
    <t>maclinea.tec@gmail.com</t>
  </si>
  <si>
    <t>4498</t>
  </si>
  <si>
    <t>15097882</t>
  </si>
  <si>
    <t>10126956</t>
  </si>
  <si>
    <t>89550447000030743834</t>
  </si>
  <si>
    <t>8178</t>
  </si>
  <si>
    <t>41 98855 9214</t>
  </si>
  <si>
    <t>RXCX806YABM</t>
  </si>
  <si>
    <t>351816150313926</t>
  </si>
  <si>
    <t>351818860313923</t>
  </si>
  <si>
    <t>64:1B:2F:AF:25:46</t>
  </si>
  <si>
    <t>FE80:648C:85FF:FE34:3392</t>
  </si>
  <si>
    <t>64:1B:2F:AA:79:57</t>
  </si>
  <si>
    <t>FE80:1073:6BFF:FED5:FC2A</t>
  </si>
  <si>
    <t>APPLE</t>
  </si>
  <si>
    <t>IPHONE 15</t>
  </si>
  <si>
    <t>1C:E2:09:F3:97:8A</t>
  </si>
  <si>
    <t>RDC72KL2YN</t>
  </si>
  <si>
    <t>359626453739772</t>
  </si>
  <si>
    <t>359626453534967</t>
  </si>
  <si>
    <t>41 99216 2309</t>
  </si>
  <si>
    <t>41 99102 2963</t>
  </si>
  <si>
    <t>41 98889 7224</t>
  </si>
  <si>
    <t>41 98889 7222</t>
  </si>
  <si>
    <t>41 98889 4605</t>
  </si>
  <si>
    <t>41 98889 4581</t>
  </si>
  <si>
    <t>41 98889 4524</t>
  </si>
  <si>
    <t>41 98865 8292</t>
  </si>
  <si>
    <t>41 98855 9867</t>
  </si>
  <si>
    <t>41 98855 9397</t>
  </si>
  <si>
    <t>41 98855 2932</t>
  </si>
  <si>
    <t>41 98802 7201</t>
  </si>
  <si>
    <t>41 98802 6473</t>
  </si>
  <si>
    <t>41 99997 1444</t>
  </si>
  <si>
    <t>41 99997 1426</t>
  </si>
  <si>
    <t>41 99997 1432</t>
  </si>
  <si>
    <t>41 99997 1408</t>
  </si>
  <si>
    <t>41 99997 1417</t>
  </si>
  <si>
    <t>41 99997 1468</t>
  </si>
  <si>
    <t>41 98857 2225</t>
  </si>
  <si>
    <t>ATTILIO BRIVIO</t>
  </si>
  <si>
    <t>SUSANNA BRIVIO</t>
  </si>
  <si>
    <t>MASSIMO BRIVIO</t>
  </si>
  <si>
    <t>PARTICULAR</t>
  </si>
  <si>
    <t>FELIPE DE LIMA</t>
  </si>
  <si>
    <t>felipe.eletrica</t>
  </si>
  <si>
    <t>engenharia5.maclinea@hotmail.com</t>
  </si>
  <si>
    <t>MCLN-DSK-20</t>
  </si>
  <si>
    <t>GENERICO</t>
  </si>
  <si>
    <t>PC</t>
  </si>
  <si>
    <t>I5-11600/32GB/SSD480/HD1TB/QUADRO FX580</t>
  </si>
  <si>
    <t>MCLN-NT-09</t>
  </si>
  <si>
    <t>INSPIRON 15 3520</t>
  </si>
  <si>
    <t>74:FE:CE:8F:CB:18</t>
  </si>
  <si>
    <t>44:FA:66:64:3D:58</t>
  </si>
  <si>
    <t>P112FF007</t>
  </si>
  <si>
    <t>I5-1235U/16GB/NVME480GB</t>
  </si>
  <si>
    <t>MCLN-NT-10</t>
  </si>
  <si>
    <t>D0:94:66:C6:A8:9E</t>
  </si>
  <si>
    <t>5C:CD:5B:8E:0E:0E</t>
  </si>
  <si>
    <t>I5-8265U/16GB/NVME256</t>
  </si>
  <si>
    <t>INSPIRON 3583</t>
  </si>
  <si>
    <t>asstec6.maclinea@hotmail.com</t>
  </si>
  <si>
    <t>58:11:22:19:E0:6F</t>
  </si>
  <si>
    <t>vinicius.belem</t>
  </si>
  <si>
    <t>MCLN-DSK-21</t>
  </si>
  <si>
    <t>VINICIUS DE LARA BELEM</t>
  </si>
  <si>
    <t>MM79R-NRCDJ-FBPRG-RR2YY-RC2KM</t>
  </si>
  <si>
    <t>ti.maclinea@outlook.com</t>
  </si>
  <si>
    <t>I5-8400/32GB/SSD480/HD1TB/QUADRO P620</t>
  </si>
  <si>
    <t>OFFICE 2021</t>
  </si>
  <si>
    <t>SOLIDWORKS VISUALIZE</t>
  </si>
  <si>
    <t>ACESSO / CHAVE / CONTA</t>
  </si>
  <si>
    <t>9000 0509 2730 5627 CZKB 7ZG3</t>
  </si>
  <si>
    <t>9000 0509 2730 5627 7YQJ JNCC</t>
  </si>
  <si>
    <t>UVW</t>
  </si>
  <si>
    <t>LICENÇA VISIALIZE CORTESIA CONTRATO UVW</t>
  </si>
  <si>
    <t>SOFTWARES</t>
  </si>
  <si>
    <t>EPLAN ELTRIC P8</t>
  </si>
  <si>
    <t>EPLAN</t>
  </si>
  <si>
    <t>DATA DE AQUSIÇÃO</t>
  </si>
  <si>
    <t>VALIDADE</t>
  </si>
  <si>
    <t>DATA DE VENCIMENTO</t>
  </si>
  <si>
    <t>VALOR R$</t>
  </si>
  <si>
    <t>MAC ETH 1</t>
  </si>
  <si>
    <t>MAC ETH 2</t>
  </si>
  <si>
    <t>A8:5E:45:1E:44:41</t>
  </si>
  <si>
    <t>40:3F:8C:CC:84:4C</t>
  </si>
  <si>
    <t>RAFAEL KOPPE SERENA</t>
  </si>
  <si>
    <t>rafael.serena</t>
  </si>
  <si>
    <t>I7-8700/16GB/SSD480/HD1TB/QUADRO P620</t>
  </si>
  <si>
    <t>0001 0030 8683 6457 KGGG D543</t>
  </si>
  <si>
    <t>SOLIDWORKS STD 2024</t>
  </si>
  <si>
    <t>MCLN-DSK-23</t>
  </si>
  <si>
    <t>GWKDK-3QNWK-VD64F-BF9D4-F6WC3</t>
  </si>
  <si>
    <t>I5-10300H/8GB/NVME256GB/GTX1650</t>
  </si>
  <si>
    <t>192.168.0.200</t>
  </si>
  <si>
    <t>maclinea@maclinea</t>
  </si>
  <si>
    <t>Mac@2023#</t>
  </si>
  <si>
    <t>192.168.0.240</t>
  </si>
  <si>
    <t>Engenharia</t>
  </si>
  <si>
    <t>04:D9:F5:09:D4:72</t>
  </si>
  <si>
    <t>192.168.0.244</t>
  </si>
  <si>
    <t>192.168.0.245</t>
  </si>
  <si>
    <t>admin</t>
  </si>
  <si>
    <t>Sofka8707</t>
  </si>
  <si>
    <t>@Sofka8707#</t>
  </si>
  <si>
    <t xml:space="preserve">                                  </t>
  </si>
  <si>
    <t>192.168.0.251</t>
  </si>
  <si>
    <t>Goldway</t>
  </si>
  <si>
    <t>@maclinea#</t>
  </si>
  <si>
    <t>HARDKEY INSTALADO</t>
  </si>
  <si>
    <t>MACSRV-AUS</t>
  </si>
  <si>
    <t>MACSRV-PDM</t>
  </si>
  <si>
    <t>Administrator</t>
  </si>
  <si>
    <t>Administrador</t>
  </si>
  <si>
    <t>@Mac#2025$$linea</t>
  </si>
  <si>
    <t>DOUGLAS ZARINELLO</t>
  </si>
  <si>
    <t>douglas.zarinello</t>
  </si>
  <si>
    <t>MCLN-DSK-24</t>
  </si>
  <si>
    <t>I5-12400/64GB/SSD512/HD500GB/RTX A2000</t>
  </si>
  <si>
    <t>D8:5E:D3:F5:95:8B</t>
  </si>
  <si>
    <t>9000 0515 0526 1595 9ZMG 3Q7H</t>
  </si>
  <si>
    <t>MCLN-NT-11</t>
  </si>
  <si>
    <t>5C:CD:5B:F1:E3:75</t>
  </si>
  <si>
    <t>34:73:5A:FE:9F:51</t>
  </si>
  <si>
    <t>I5-1135G7/16GB/SSD 1TB</t>
  </si>
  <si>
    <t>VOSTRO 3500</t>
  </si>
  <si>
    <t>532DQF3</t>
  </si>
  <si>
    <t>FRANCISCO QUEIROZ</t>
  </si>
  <si>
    <t>francisco.queiroz</t>
  </si>
  <si>
    <t>NPCCD-KVD62-462QG-Y7HJH-CYQTQ</t>
  </si>
  <si>
    <t>9000 0509 2729 9909 HZXT NG3H</t>
  </si>
  <si>
    <t>MCLN-DSK-25</t>
  </si>
  <si>
    <t>EDELCIO JOSE SILVA</t>
  </si>
  <si>
    <t>edelcio.jose</t>
  </si>
  <si>
    <t>3C:7C:3F:10:14:EF</t>
  </si>
  <si>
    <t>50:3E:AA:09:AC:D5</t>
  </si>
  <si>
    <t>ANGELO PIPITONE</t>
  </si>
  <si>
    <t>THINKBOOK 15 G3 IAP</t>
  </si>
  <si>
    <t>PE0D00K9</t>
  </si>
  <si>
    <t>MCLN-NT-12</t>
  </si>
  <si>
    <t>I5-1235U/8GB/SSD256</t>
  </si>
  <si>
    <t>I7-9700/32GB/SSD512/HD500GB/QUADRO P620</t>
  </si>
  <si>
    <t>MBDRW-T2N8V-VG36R-8V779-JW89D</t>
  </si>
  <si>
    <t>MCLN-NT-13</t>
  </si>
  <si>
    <t>maclinea.usinagem@gmail.com</t>
  </si>
  <si>
    <t>A06 SM-A065M/DS</t>
  </si>
  <si>
    <t>353096466556850</t>
  </si>
  <si>
    <t>357826176556857</t>
  </si>
  <si>
    <t>R9XXA0ANK1T</t>
  </si>
  <si>
    <t>4A:2C:63:6D:DA:70</t>
  </si>
  <si>
    <t>FE80:482C:63FF:FE6D:DA70</t>
  </si>
  <si>
    <t>60:C7:27:26:55:10</t>
  </si>
  <si>
    <t>44:38:E8:C2:09:11</t>
  </si>
  <si>
    <t>PE0DMJ09</t>
  </si>
  <si>
    <t>24MS500</t>
  </si>
  <si>
    <t>501AZVNEG567</t>
  </si>
  <si>
    <t>2447ZEGMCD38</t>
  </si>
  <si>
    <t>2450CEU5KVD9</t>
  </si>
  <si>
    <t>JONAS DANIEL KAHL</t>
  </si>
  <si>
    <t>PHK4N-G6FCK-FV7DK-V86F4-X2B23</t>
  </si>
  <si>
    <t>arlete.melo</t>
  </si>
  <si>
    <t>89550447000030743859</t>
  </si>
  <si>
    <t>0828</t>
  </si>
  <si>
    <t>42630758</t>
  </si>
  <si>
    <t>49191624</t>
  </si>
  <si>
    <t>FABIANA RUFATO DE MOURA
ELIZANDRA CRISTINA FERREIRA ALVES</t>
  </si>
  <si>
    <t>LUCIANO FELIPE KAHL</t>
  </si>
  <si>
    <t>luciano.kahl</t>
  </si>
  <si>
    <t>HSTND-9871-V</t>
  </si>
  <si>
    <t>BRL1369J4Z</t>
  </si>
  <si>
    <t>3C:52:A1:B7:D8:6A</t>
  </si>
  <si>
    <t>44:FA:66:64:56:53</t>
  </si>
  <si>
    <t>DQF9R44</t>
  </si>
  <si>
    <t>855 406 846</t>
  </si>
  <si>
    <t>SENHA E-MAIL</t>
  </si>
  <si>
    <t>@Mac#2025%%</t>
  </si>
  <si>
    <t>R9XY507QT2T</t>
  </si>
  <si>
    <t>astec.maclinea@gmail.com</t>
  </si>
  <si>
    <t>352884314010829</t>
  </si>
  <si>
    <t>359839814010821</t>
  </si>
  <si>
    <t>3C:0A:7A:5E:67:16</t>
  </si>
  <si>
    <t>FE80:B90F:50C6:FD2B:C045</t>
  </si>
  <si>
    <t>CINTIA BARBARA DA CUNHA GRESCZYSZIN
ANA PAULA VELOSO</t>
  </si>
  <si>
    <t>64:1B:2F:AA:79:53</t>
  </si>
  <si>
    <t>FE80:CDD0:8694:E19B:5E37</t>
  </si>
  <si>
    <t>ACESSOS</t>
  </si>
  <si>
    <t>tecnico.maclinea@gmail.com</t>
  </si>
  <si>
    <t>89550447000030743842</t>
  </si>
  <si>
    <t>EDSON DOMINGOS DE MORAES</t>
  </si>
  <si>
    <t>3C:0A:7A:62:EC:1E</t>
  </si>
  <si>
    <t>FE80:7DC:8C0A:4E55:E57</t>
  </si>
  <si>
    <t>R9XY50CQ0NM</t>
  </si>
  <si>
    <t>352884315192758</t>
  </si>
  <si>
    <t>359839815192750</t>
  </si>
  <si>
    <t>maclinea.mobile@gmail.com</t>
  </si>
  <si>
    <t>MCLN-DSK-22</t>
  </si>
  <si>
    <t>I5-9400/16GB/SSD240GB</t>
  </si>
  <si>
    <t>USO</t>
  </si>
  <si>
    <t>41 98802 0061</t>
  </si>
  <si>
    <t>41 98889 4270</t>
  </si>
  <si>
    <t>41 99840 8988</t>
  </si>
  <si>
    <t>ALMOXARIFADO ASTEC</t>
  </si>
  <si>
    <t>MCLN-NT-06</t>
  </si>
  <si>
    <t>LOQ 15IRH8</t>
  </si>
  <si>
    <t>PE0CEQPQ</t>
  </si>
  <si>
    <t>I5-12450H/16GB/SSD480/RTX2050</t>
  </si>
  <si>
    <t>HENRIQUE GRYBOSI</t>
  </si>
  <si>
    <t>501AZRDEG302</t>
  </si>
  <si>
    <t>MCLN-NT-14</t>
  </si>
  <si>
    <t>WINDOWS 11 SL</t>
  </si>
  <si>
    <t>MARCELLO LUPARIA</t>
  </si>
  <si>
    <t>ELETRIC ECOSTRUXURE</t>
  </si>
  <si>
    <t>SOMOVE</t>
  </si>
  <si>
    <t>P/N ESEEXPCZZTPAZZ</t>
  </si>
  <si>
    <t>ID A-RWWCC-CML3-6XLB</t>
  </si>
  <si>
    <t>P/N SOVPELXZZSPA28</t>
  </si>
  <si>
    <t>ID A-XSJP-FS8N-BBV2</t>
  </si>
  <si>
    <t>PERMANENTE</t>
  </si>
  <si>
    <t>SCHNNEIDER</t>
  </si>
  <si>
    <t>DISPOSITIVOS</t>
  </si>
  <si>
    <t>IP</t>
  </si>
  <si>
    <t>MAC</t>
  </si>
  <si>
    <t>HOST</t>
  </si>
  <si>
    <t>WI-FI</t>
  </si>
  <si>
    <t>PORTA / SW</t>
  </si>
  <si>
    <t>TP-LINK
AC1750</t>
  </si>
  <si>
    <t>192.168.89.254</t>
  </si>
  <si>
    <t>CC-32-E5-ED-9E-31</t>
  </si>
  <si>
    <t>@Maclinea#2024$$</t>
  </si>
  <si>
    <t>SALA DE REUNIAO</t>
  </si>
  <si>
    <t>MACLINEA_REUNIAO</t>
  </si>
  <si>
    <t>horizons2020</t>
  </si>
  <si>
    <t>4 - SW - PCP</t>
  </si>
  <si>
    <t>192.168.89.252</t>
  </si>
  <si>
    <t>CC-32-E5-ED-84-06</t>
  </si>
  <si>
    <t>CORREDOR
1º ANDAR ADM</t>
  </si>
  <si>
    <t>MACLINEA_FIN</t>
  </si>
  <si>
    <t>3 - SW - PCP</t>
  </si>
  <si>
    <t>192.168.89.253</t>
  </si>
  <si>
    <t>CC-32-E5-ED-66-1E</t>
  </si>
  <si>
    <t>TERREO ADM</t>
  </si>
  <si>
    <t>MACLINEA_COMPRAS</t>
  </si>
  <si>
    <t>5 - SW - PCP</t>
  </si>
  <si>
    <t>192.168.89.251</t>
  </si>
  <si>
    <t>CC-32-E5-ED-99-12</t>
  </si>
  <si>
    <t>MCLN_TI</t>
  </si>
  <si>
    <t>7 - SW - TI</t>
  </si>
  <si>
    <t>MACLINEA_ENG</t>
  </si>
  <si>
    <t>TP-LINK
EAP</t>
  </si>
  <si>
    <t>192.168.0.250</t>
  </si>
  <si>
    <t>SALA DIRETORIA</t>
  </si>
  <si>
    <t>MACLINEA_DRT</t>
  </si>
  <si>
    <t>TP-LINK
ACHER C5 W</t>
  </si>
  <si>
    <t>192.168.89.250</t>
  </si>
  <si>
    <t>D8:47:32:7B:2C:8E</t>
  </si>
  <si>
    <t>@Mac#2025</t>
  </si>
  <si>
    <t>MACLINEA_CQ</t>
  </si>
  <si>
    <t>horizons2121</t>
  </si>
  <si>
    <t>7 - SW - PCP</t>
  </si>
  <si>
    <t>192.168.89.249</t>
  </si>
  <si>
    <t>B0-95-75-67-A0-50</t>
  </si>
  <si>
    <t>MACLINEA_MONT</t>
  </si>
  <si>
    <t>horizons@</t>
  </si>
  <si>
    <t>1 - SW - PCP</t>
  </si>
  <si>
    <t>192.168.89.248</t>
  </si>
  <si>
    <t>B0-95-75-68-5F-03</t>
  </si>
  <si>
    <t>MACLINEA_LOG</t>
  </si>
  <si>
    <t>SHOWROOM</t>
  </si>
  <si>
    <t>MAC_SHOWROOM</t>
  </si>
  <si>
    <t>RESERVA</t>
  </si>
  <si>
    <t>22
22</t>
  </si>
  <si>
    <t>2130
2073</t>
  </si>
  <si>
    <t>B2230
2233SW</t>
  </si>
  <si>
    <t>011HQAZ500321T
CM22HQCS401418D</t>
  </si>
  <si>
    <t>MCLN-DSK-26</t>
  </si>
  <si>
    <t>I3-7100/8GB/SSD240GB</t>
  </si>
  <si>
    <t>10:E7:C6:C5:B5:CB
3C:84:6C:CC:43:CF</t>
  </si>
  <si>
    <t>HP PRODESK 400 G4</t>
  </si>
  <si>
    <t>BRJ827T4PZ</t>
  </si>
  <si>
    <t xml:space="preserve"> 60:C7:27:15:13:4F</t>
  </si>
  <si>
    <t>B8:1E:A4:EC:63:05</t>
  </si>
  <si>
    <t>ANDERSON JUNIO DA SILVA</t>
  </si>
  <si>
    <t>FABIO ALEXANDRE DA SILVA OLIVEIRA</t>
  </si>
  <si>
    <t>ZENIR FIOREZE</t>
  </si>
  <si>
    <t>RICARDO DE OLIVEIRA FERNANDES</t>
  </si>
  <si>
    <t>TIAGO FIOREZE</t>
  </si>
  <si>
    <t>GERSON ANTONIO LADRES BUENO</t>
  </si>
  <si>
    <t>ANDRE BASTOS DE ALMEIDA</t>
  </si>
  <si>
    <t>PORTABILIDADE</t>
  </si>
  <si>
    <t>REALOCAR</t>
  </si>
  <si>
    <t>CANCELAR</t>
  </si>
  <si>
    <t>SUGESTÃO</t>
  </si>
  <si>
    <t>A01 SM-A015M/DS</t>
  </si>
  <si>
    <t>353170500084912</t>
  </si>
  <si>
    <t>353170500212349</t>
  </si>
  <si>
    <t>353170500212190</t>
  </si>
  <si>
    <t>SUSPENSA</t>
  </si>
  <si>
    <t>MACSRV-ADFS</t>
  </si>
  <si>
    <t>192.168.0.149</t>
  </si>
  <si>
    <t>SRVMAC-HV</t>
  </si>
  <si>
    <t>Pastas / Arquivos - Servidor de Arquivos</t>
  </si>
  <si>
    <t>Pastas / Arquivos - Servidor PDM</t>
  </si>
  <si>
    <t>Acesso a aplicações do Ausland por VPN</t>
  </si>
  <si>
    <t>VM - SERVER DELL</t>
  </si>
  <si>
    <t>SERVER DELL</t>
  </si>
  <si>
    <t>Storage Linux - SERVER HP</t>
  </si>
  <si>
    <t>192.168.0.247</t>
  </si>
  <si>
    <t>vnsolution</t>
  </si>
  <si>
    <t>#Vn@2024**</t>
  </si>
  <si>
    <t>Antena Intelbras CFTV</t>
  </si>
  <si>
    <t>192.168.0.241</t>
  </si>
  <si>
    <t>IDRAC</t>
  </si>
  <si>
    <t>192.168.1.1</t>
  </si>
  <si>
    <t>Maclinea</t>
  </si>
  <si>
    <t>@MacLinea#2025$$</t>
  </si>
  <si>
    <t>UDM PRO</t>
  </si>
  <si>
    <t>LOCAWEB</t>
  </si>
  <si>
    <t>maclinea</t>
  </si>
  <si>
    <t>mac75itbr</t>
  </si>
  <si>
    <t>TOKEN</t>
  </si>
  <si>
    <t>ti@maclinea.com.br</t>
  </si>
  <si>
    <t>MICROSOFT</t>
  </si>
  <si>
    <t>admin@maclineabrasil.onmicrosoft.com</t>
  </si>
  <si>
    <t>root</t>
  </si>
  <si>
    <t>Vn@Mac23</t>
  </si>
  <si>
    <t>Pastas / Arquivos - Desktop Engenharia</t>
  </si>
  <si>
    <t>192.168.0.152</t>
  </si>
  <si>
    <t>@Mac$$linea#%</t>
  </si>
  <si>
    <t>Authenticator Microsoft (SmartPhone TI)</t>
  </si>
  <si>
    <t>BITDEFENDER</t>
  </si>
  <si>
    <t>kleber.borges@maclinea.com.br</t>
  </si>
  <si>
    <t>LINK</t>
  </si>
  <si>
    <t>Bitdefender GravityZone Control Center</t>
  </si>
  <si>
    <t>Porta Bitdefender</t>
  </si>
  <si>
    <t>Discador - Baldussi</t>
  </si>
  <si>
    <t>BALDUSSI</t>
  </si>
  <si>
    <t>5UbaRcze7DP2</t>
  </si>
  <si>
    <t>PENSO BACKUP</t>
  </si>
  <si>
    <t>Porta Penso Backup</t>
  </si>
  <si>
    <t>Home - Portal do Cliente</t>
  </si>
  <si>
    <t>Avast Account</t>
  </si>
  <si>
    <t>Portal AVAST</t>
  </si>
  <si>
    <t>AVAST</t>
  </si>
  <si>
    <t>@@Mac$$linea#25</t>
  </si>
  <si>
    <t>EMPRESAS / SERVIÇOS</t>
  </si>
  <si>
    <t>DESCRIÇÃO ACESSOS</t>
  </si>
  <si>
    <t>Contas de e-mail</t>
  </si>
  <si>
    <t>ADM Microsoft 365</t>
  </si>
  <si>
    <t>Linhas e Faturas TIM</t>
  </si>
  <si>
    <t>https://meutim.tim.com.br/</t>
  </si>
  <si>
    <t>https://admin.cloud.microsoft</t>
  </si>
  <si>
    <t>https://www.locaweb.com.br</t>
  </si>
  <si>
    <t>Makrolock</t>
  </si>
  <si>
    <t>Monitoramento Dispositivos</t>
  </si>
  <si>
    <t>MAKROLOCK</t>
  </si>
  <si>
    <t>makro2025</t>
  </si>
  <si>
    <t>VIVO EMPRESAS</t>
  </si>
  <si>
    <t>flavio.financeiro@maclinea.com.br</t>
  </si>
  <si>
    <t>Mac2025@</t>
  </si>
  <si>
    <t>Internet Corporativa</t>
  </si>
  <si>
    <t>Cloud Pabx</t>
  </si>
  <si>
    <t>https://mve.vivo.com.br</t>
  </si>
  <si>
    <t>USUARIO / LOGIN</t>
  </si>
  <si>
    <t>CPF 97270768900</t>
  </si>
  <si>
    <t>AUSLAND MOVIDESK</t>
  </si>
  <si>
    <t>kribeiro</t>
  </si>
  <si>
    <t>Ferramenta de chamado ERP Ausland</t>
  </si>
  <si>
    <t>https://suporteausland.movidesk.com</t>
  </si>
  <si>
    <t>AusMac2025</t>
  </si>
  <si>
    <t>CONTABILIDADE TERCEIROS</t>
  </si>
  <si>
    <t>MAQUINA DE CORTE</t>
  </si>
  <si>
    <t>REVISADA</t>
  </si>
  <si>
    <t>jonas.kahl@maclinea.com.br</t>
  </si>
  <si>
    <t>sem conta</t>
  </si>
  <si>
    <t>FABRICA</t>
  </si>
  <si>
    <t>LASERJET</t>
  </si>
  <si>
    <t>RICOH</t>
  </si>
  <si>
    <t>CONEXÃO</t>
  </si>
  <si>
    <t>PROPRIEDADE</t>
  </si>
  <si>
    <t>M320F</t>
  </si>
  <si>
    <t>192.168.0.210</t>
  </si>
  <si>
    <t>192.168.0.211</t>
  </si>
  <si>
    <t>192.168.0.212</t>
  </si>
  <si>
    <t>192.168.0.213</t>
  </si>
  <si>
    <t>192.168.0.214</t>
  </si>
  <si>
    <t>192.168.0.215</t>
  </si>
  <si>
    <t>192.168.0.216</t>
  </si>
  <si>
    <t>LOCAÇÃO</t>
  </si>
  <si>
    <t>CONTABILIDADE</t>
  </si>
  <si>
    <t>ASTEC</t>
  </si>
  <si>
    <t>PCP / COMPRAS</t>
  </si>
  <si>
    <t>USB</t>
  </si>
  <si>
    <t>COM EX</t>
  </si>
  <si>
    <t>DRT FINANCEIRO</t>
  </si>
  <si>
    <t>DRT COMERCIAL</t>
  </si>
  <si>
    <t>DRT GERAL</t>
  </si>
  <si>
    <t>SHARP</t>
  </si>
  <si>
    <t>VDS ASTEC</t>
  </si>
  <si>
    <t>ELETRICA / MONTAGEM</t>
  </si>
  <si>
    <t>ALMOXARIFADO APOIO</t>
  </si>
  <si>
    <t>INK JET</t>
  </si>
  <si>
    <t>EPSON</t>
  </si>
  <si>
    <t>192.168.0.217</t>
  </si>
  <si>
    <t>PLOTTER</t>
  </si>
  <si>
    <t>L14150</t>
  </si>
  <si>
    <t>1102W</t>
  </si>
  <si>
    <t>M1130</t>
  </si>
  <si>
    <t>Nº.</t>
  </si>
  <si>
    <t>TI / RESERVA</t>
  </si>
  <si>
    <t>0001 0030 8684 8150 SGXJ 4BDJ</t>
  </si>
  <si>
    <t>0001 0030 8702 7471 39GH Q526</t>
  </si>
  <si>
    <t>0001 0030 8723 3877 F8FB PD78</t>
  </si>
  <si>
    <t>9000 0509 2728 8652 BMGK 96KB</t>
  </si>
  <si>
    <t>9000 0526 6451 7517 FMK6 24B6</t>
  </si>
  <si>
    <t>9000 0526 6808 1208 FN4D 7FGG</t>
  </si>
  <si>
    <t>SOLIDWORKS NETWORK</t>
  </si>
  <si>
    <t>SOLIDWORKS PDM STD CAD EDITOR</t>
  </si>
  <si>
    <t>0010 0098 2489 1136 PDTB 6656</t>
  </si>
  <si>
    <t>9010 0526 6450 1582 NZ54 BRKK</t>
  </si>
  <si>
    <t>9010 0509 2730 4064 CP72 HQCH</t>
  </si>
  <si>
    <t>EMPRESAS</t>
  </si>
  <si>
    <t>FIM DO SUPORTE</t>
  </si>
  <si>
    <t>PERMANETE</t>
  </si>
  <si>
    <t>CONTRATO</t>
  </si>
  <si>
    <t>MARCSRV-AUS</t>
  </si>
  <si>
    <t>FORNECEDOR</t>
  </si>
  <si>
    <t>SERVIÇO CONTRATADO</t>
  </si>
  <si>
    <t>CNPJ</t>
  </si>
  <si>
    <t>RAZÃO SOCIAL</t>
  </si>
  <si>
    <t>TIPO DE SERVIÇO</t>
  </si>
  <si>
    <t>INÍCIO DO CONTRATO</t>
  </si>
  <si>
    <t>FIM DO CONTRATO</t>
  </si>
  <si>
    <t>DIAS RESTANTES PARA FIM DO CONTRATO</t>
  </si>
  <si>
    <t>VALOR PAGO (R$)</t>
  </si>
  <si>
    <t>MENSAL / ANUAL</t>
  </si>
  <si>
    <t>VALOR AJUSTADO (R$)</t>
  </si>
  <si>
    <t>SLA</t>
  </si>
  <si>
    <t>RESPONSÁVEL INTERNO</t>
  </si>
  <si>
    <t>Vivo</t>
  </si>
  <si>
    <t>Internet</t>
  </si>
  <si>
    <t>Link dedicado 100MB</t>
  </si>
  <si>
    <t>Mensal</t>
  </si>
  <si>
    <t>Vivo / GVT</t>
  </si>
  <si>
    <t>Link dedicado 10MB</t>
  </si>
  <si>
    <t>CANCELADO</t>
  </si>
  <si>
    <t>Ligga</t>
  </si>
  <si>
    <t>Link dedicado 20MB</t>
  </si>
  <si>
    <t>Locaweb</t>
  </si>
  <si>
    <t>E-mail</t>
  </si>
  <si>
    <t>HOSPEDAGEM III - Periodicidade Anual</t>
  </si>
  <si>
    <t>Anual</t>
  </si>
  <si>
    <t>Certificado</t>
  </si>
  <si>
    <t>Certificado SSL para domínio</t>
  </si>
  <si>
    <t>Registro BR</t>
  </si>
  <si>
    <t>Domínio</t>
  </si>
  <si>
    <t>Registro de domínio maclinea.com.br</t>
  </si>
  <si>
    <t>Penso</t>
  </si>
  <si>
    <t>Backup</t>
  </si>
  <si>
    <t>Backup Veeam em Cloud 1TB</t>
  </si>
  <si>
    <t>Baldussi</t>
  </si>
  <si>
    <t>Telecom</t>
  </si>
  <si>
    <t>Telefonia em Cloud + Ramais</t>
  </si>
  <si>
    <t>PDM / SolidWorks</t>
  </si>
  <si>
    <t>Plano corporativo mobile</t>
  </si>
  <si>
    <t>Telefonia Móvel</t>
  </si>
  <si>
    <t>Claro</t>
  </si>
  <si>
    <t>Toro</t>
  </si>
  <si>
    <t>Antivírus Beetdefender</t>
  </si>
  <si>
    <t>Antivírus para desktops</t>
  </si>
  <si>
    <t>Avast</t>
  </si>
  <si>
    <t>Antivírus Avast</t>
  </si>
  <si>
    <t>Antivírus para servidores</t>
  </si>
  <si>
    <t>Sistema Ausland</t>
  </si>
  <si>
    <t>ERP Gestão</t>
  </si>
  <si>
    <t>Monitoramento</t>
  </si>
  <si>
    <t>Sistema de monitoramento e bloqueios dos desktops</t>
  </si>
  <si>
    <t>Locação</t>
  </si>
  <si>
    <t>Locação de desktops e notebooks</t>
  </si>
  <si>
    <t>F Printer</t>
  </si>
  <si>
    <t>Locação das impressoras</t>
  </si>
  <si>
    <t>CONTATO COMERCIAL</t>
  </si>
  <si>
    <t>CONTATO SUPORTE</t>
  </si>
  <si>
    <t>Via Site</t>
  </si>
  <si>
    <t>Jéssica Martins</t>
  </si>
  <si>
    <t>FONE COMERCIAL</t>
  </si>
  <si>
    <t>FONE SUPORTE</t>
  </si>
  <si>
    <t>41 99987-0473</t>
  </si>
  <si>
    <t>Suporte</t>
  </si>
  <si>
    <t>41 98418-9447</t>
  </si>
  <si>
    <t>Estefanie</t>
  </si>
  <si>
    <t>47 3300-1678</t>
  </si>
  <si>
    <t>47 3521-8099</t>
  </si>
  <si>
    <t>Alexandre</t>
  </si>
  <si>
    <t>Rafael</t>
  </si>
  <si>
    <t>47 99112-8685</t>
  </si>
  <si>
    <t>47 99176-2995</t>
  </si>
  <si>
    <t>Tonho</t>
  </si>
  <si>
    <t>41 99606-4721</t>
  </si>
  <si>
    <t>Higor</t>
  </si>
  <si>
    <t>41 99173-0118</t>
  </si>
  <si>
    <t>41 4113-0408</t>
  </si>
  <si>
    <t>Aramis Freitas</t>
  </si>
  <si>
    <t>41 99976-0265</t>
  </si>
  <si>
    <t>Tavora</t>
  </si>
  <si>
    <t>41 99879-7120</t>
  </si>
  <si>
    <t>Fernanda</t>
  </si>
  <si>
    <t>41 98852-1629</t>
  </si>
  <si>
    <t>Felipe Rocha</t>
  </si>
  <si>
    <t>15 98135-4279</t>
  </si>
  <si>
    <t>Juliana</t>
  </si>
  <si>
    <t>41 99780-3657</t>
  </si>
  <si>
    <t>41 3300-0009</t>
  </si>
  <si>
    <t>Raphael Gonçalves</t>
  </si>
  <si>
    <t>11 99457-0379</t>
  </si>
  <si>
    <t>Nicolas Dantas</t>
  </si>
  <si>
    <t>11 92060-8889</t>
  </si>
  <si>
    <t>Em cancelamento</t>
  </si>
  <si>
    <t>Cancelado</t>
  </si>
  <si>
    <t>11 3393-2956</t>
  </si>
  <si>
    <t>Tiago Barreto</t>
  </si>
  <si>
    <t>Francisco</t>
  </si>
  <si>
    <t>41 99151-9588</t>
  </si>
  <si>
    <t>EDILSON CARDOSO</t>
  </si>
  <si>
    <t>Authenticator Microsoft</t>
  </si>
  <si>
    <t>REGISTRO BR</t>
  </si>
  <si>
    <t>EDCAL20</t>
  </si>
  <si>
    <t>@Mac#2025$$</t>
  </si>
  <si>
    <t>Registro de Dominio</t>
  </si>
  <si>
    <t>https://registro.br/</t>
  </si>
  <si>
    <t>Webflow</t>
  </si>
  <si>
    <t>Site</t>
  </si>
  <si>
    <t xml:space="preserve">Desenvolvimento / Hospedagem </t>
  </si>
  <si>
    <t>Victoria</t>
  </si>
  <si>
    <t>41 98864-2414</t>
  </si>
  <si>
    <t>Recapture por 3 anos de contrato de manutenção ativo</t>
  </si>
  <si>
    <t>SW Standard + CAD Editor</t>
  </si>
  <si>
    <t>Licença extra (SW CAD Standard + SW PDM CAD Editor)</t>
  </si>
  <si>
    <t>Parcelado</t>
  </si>
  <si>
    <t>Único</t>
  </si>
  <si>
    <t>Contrato de 3 anos. Pagamento em até 24x.</t>
  </si>
  <si>
    <t>Contrato de 2 anos (venc. 30/03/2026) e extensão de 8 meses (venc. 30/11/2026). Pagamento em 24x sem juros.</t>
  </si>
  <si>
    <t>Contrato de 2 anos. Pagamento em 20x sem juros.</t>
  </si>
  <si>
    <t>SEM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</si>
</sst>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B1B1B"/>
      <name val="Ebrima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vertical="center"/>
    </xf>
    <xf numFmtId="49" fontId="0" fillId="0" borderId="0" xfId="0" applyNumberFormat="1"/>
    <xf numFmtId="4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2" fillId="3" borderId="0" xfId="1" applyFill="1"/>
    <xf numFmtId="0" fontId="3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/>
    </xf>
    <xf numFmtId="4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3" borderId="0" xfId="0" applyNumberFormat="1" applyFill="1"/>
    <xf numFmtId="0" fontId="0" fillId="4" borderId="0" xfId="0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0" fontId="0" fillId="3" borderId="0" xfId="0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2" fillId="0" borderId="0" xfId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49" fontId="0" fillId="5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49" fontId="0" fillId="6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vertical="center" wrapText="1"/>
    </xf>
    <xf numFmtId="49" fontId="0" fillId="5" borderId="0" xfId="0" applyNumberForma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49" fontId="0" fillId="5" borderId="0" xfId="0" applyNumberFormat="1" applyFill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2" fillId="4" borderId="2" xfId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2" fillId="4" borderId="1" xfId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6" borderId="0" xfId="0" applyFill="1" applyAlignment="1">
      <alignment vertical="center" wrapText="1"/>
    </xf>
    <xf numFmtId="0" fontId="5" fillId="0" borderId="0" xfId="0" applyFont="1"/>
    <xf numFmtId="0" fontId="0" fillId="4" borderId="0" xfId="0" applyFill="1" applyAlignment="1">
      <alignment horizontal="left"/>
    </xf>
    <xf numFmtId="0" fontId="0" fillId="6" borderId="0" xfId="0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2" fillId="0" borderId="0" xfId="1" applyNumberFormat="1"/>
    <xf numFmtId="49" fontId="0" fillId="5" borderId="0" xfId="0" applyNumberFormat="1" applyFill="1" applyAlignment="1">
      <alignment horizontal="left" vertical="center"/>
    </xf>
    <xf numFmtId="49" fontId="2" fillId="3" borderId="0" xfId="1" applyNumberFormat="1" applyFill="1"/>
    <xf numFmtId="49" fontId="2" fillId="0" borderId="0" xfId="1" applyNumberFormat="1" applyAlignment="1">
      <alignment vertical="center"/>
    </xf>
    <xf numFmtId="49" fontId="2" fillId="3" borderId="0" xfId="1" applyNumberFormat="1" applyFill="1" applyAlignment="1">
      <alignment vertical="center"/>
    </xf>
    <xf numFmtId="49" fontId="2" fillId="0" borderId="0" xfId="1" applyNumberForma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3" borderId="0" xfId="0" applyNumberForma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3" borderId="0" xfId="1" applyNumberFormat="1" applyFill="1" applyBorder="1" applyAlignment="1">
      <alignment vertical="center"/>
    </xf>
    <xf numFmtId="49" fontId="2" fillId="4" borderId="2" xfId="1" applyNumberFormat="1" applyFill="1" applyBorder="1" applyAlignment="1">
      <alignment vertical="center"/>
    </xf>
    <xf numFmtId="49" fontId="2" fillId="4" borderId="1" xfId="1" applyNumberFormat="1" applyFill="1" applyBorder="1" applyAlignment="1">
      <alignment vertical="center"/>
    </xf>
    <xf numFmtId="0" fontId="2" fillId="3" borderId="0" xfId="1" applyFill="1" applyAlignment="1">
      <alignment horizontal="center" vertical="center"/>
    </xf>
    <xf numFmtId="0" fontId="0" fillId="5" borderId="0" xfId="0" applyFill="1" applyAlignment="1">
      <alignment horizontal="left"/>
    </xf>
    <xf numFmtId="49" fontId="0" fillId="5" borderId="0" xfId="0" applyNumberFormat="1" applyFill="1" applyAlignment="1">
      <alignment horizontal="right"/>
    </xf>
    <xf numFmtId="49" fontId="0" fillId="6" borderId="0" xfId="0" applyNumberFormat="1" applyFill="1"/>
    <xf numFmtId="0" fontId="0" fillId="6" borderId="0" xfId="0" applyFill="1" applyAlignment="1">
      <alignment horizontal="left"/>
    </xf>
    <xf numFmtId="49" fontId="0" fillId="3" borderId="0" xfId="0" applyNumberFormat="1" applyFill="1" applyAlignment="1">
      <alignment wrapText="1"/>
    </xf>
    <xf numFmtId="0" fontId="0" fillId="5" borderId="0" xfId="0" applyFill="1" applyAlignment="1">
      <alignment horizontal="right" vertical="center"/>
    </xf>
    <xf numFmtId="0" fontId="6" fillId="6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49" fontId="7" fillId="3" borderId="0" xfId="1" applyNumberFormat="1" applyFont="1" applyFill="1"/>
    <xf numFmtId="0" fontId="0" fillId="5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49" fontId="0" fillId="0" borderId="5" xfId="0" applyNumberFormat="1" applyBorder="1" applyAlignment="1">
      <alignment horizontal="center" vertical="center"/>
    </xf>
    <xf numFmtId="49" fontId="0" fillId="0" borderId="5" xfId="0" applyNumberFormat="1" applyBorder="1"/>
    <xf numFmtId="0" fontId="7" fillId="0" borderId="5" xfId="1" applyNumberFormat="1" applyFont="1" applyBorder="1"/>
    <xf numFmtId="0" fontId="7" fillId="0" borderId="4" xfId="1" applyNumberFormat="1" applyFont="1" applyFill="1" applyBorder="1"/>
    <xf numFmtId="0" fontId="0" fillId="0" borderId="4" xfId="0" applyBorder="1" applyAlignment="1">
      <alignment horizontal="center"/>
    </xf>
    <xf numFmtId="0" fontId="2" fillId="0" borderId="4" xfId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4" borderId="0" xfId="1" applyFill="1" applyAlignment="1">
      <alignment vertical="center"/>
    </xf>
    <xf numFmtId="49" fontId="2" fillId="4" borderId="0" xfId="1" applyNumberFormat="1" applyFill="1" applyAlignment="1">
      <alignment vertical="center"/>
    </xf>
    <xf numFmtId="0" fontId="3" fillId="4" borderId="0" xfId="0" applyFont="1" applyFill="1" applyAlignment="1">
      <alignment vertical="center"/>
    </xf>
    <xf numFmtId="2" fontId="0" fillId="4" borderId="0" xfId="0" applyNumberFormat="1" applyFill="1" applyAlignment="1">
      <alignment horizontal="center" vertical="center"/>
    </xf>
    <xf numFmtId="0" fontId="7" fillId="3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9" fillId="3" borderId="0" xfId="1" applyFont="1" applyFill="1" applyAlignment="1">
      <alignment vertical="center"/>
    </xf>
    <xf numFmtId="49" fontId="9" fillId="3" borderId="0" xfId="1" applyNumberFormat="1" applyFont="1" applyFill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4" xfId="0" applyFont="1" applyBorder="1"/>
    <xf numFmtId="14" fontId="0" fillId="0" borderId="4" xfId="0" applyNumberFormat="1" applyBorder="1"/>
    <xf numFmtId="4" fontId="0" fillId="0" borderId="4" xfId="0" applyNumberFormat="1" applyBorder="1"/>
    <xf numFmtId="4" fontId="0" fillId="0" borderId="4" xfId="0" applyNumberFormat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0" fillId="7" borderId="4" xfId="0" applyFill="1" applyBorder="1"/>
    <xf numFmtId="0" fontId="0" fillId="8" borderId="4" xfId="0" applyFill="1" applyBorder="1"/>
    <xf numFmtId="8" fontId="0" fillId="0" borderId="4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cas.lichtblau@maclinea.com.br" TargetMode="External"/><Relationship Id="rId13" Type="http://schemas.openxmlformats.org/officeDocument/2006/relationships/hyperlink" Target="mailto:joao.gino@maclinea.com" TargetMode="External"/><Relationship Id="rId18" Type="http://schemas.openxmlformats.org/officeDocument/2006/relationships/hyperlink" Target="mailto:maiko.terraro@maclinea.com" TargetMode="External"/><Relationship Id="rId26" Type="http://schemas.openxmlformats.org/officeDocument/2006/relationships/hyperlink" Target="mailto:asstec6.maclinea@hotmail.com" TargetMode="External"/><Relationship Id="rId3" Type="http://schemas.openxmlformats.org/officeDocument/2006/relationships/hyperlink" Target="mailto:taiane.oliveira@maclinea.com.br" TargetMode="External"/><Relationship Id="rId21" Type="http://schemas.openxmlformats.org/officeDocument/2006/relationships/hyperlink" Target="mailto:geisiel.walec@maclinea.com.br" TargetMode="External"/><Relationship Id="rId7" Type="http://schemas.openxmlformats.org/officeDocument/2006/relationships/hyperlink" Target="mailto:magda.giacomelli@maclinea.com.br" TargetMode="External"/><Relationship Id="rId12" Type="http://schemas.openxmlformats.org/officeDocument/2006/relationships/hyperlink" Target="mailto:nilton.araujo@maclinea.com.br" TargetMode="External"/><Relationship Id="rId17" Type="http://schemas.openxmlformats.org/officeDocument/2006/relationships/hyperlink" Target="mailto:jair.silva@maclinea.com" TargetMode="External"/><Relationship Id="rId25" Type="http://schemas.openxmlformats.org/officeDocument/2006/relationships/hyperlink" Target="mailto:maria.druzyk@maclinea.com.br" TargetMode="External"/><Relationship Id="rId2" Type="http://schemas.openxmlformats.org/officeDocument/2006/relationships/hyperlink" Target="mailto:joao.lima@maclinea.com.br" TargetMode="External"/><Relationship Id="rId16" Type="http://schemas.openxmlformats.org/officeDocument/2006/relationships/hyperlink" Target="mailto:jose.coelho@maclinea.com" TargetMode="External"/><Relationship Id="rId20" Type="http://schemas.openxmlformats.org/officeDocument/2006/relationships/hyperlink" Target="mailto:cintia.cunha@maclinea.com" TargetMode="External"/><Relationship Id="rId29" Type="http://schemas.openxmlformats.org/officeDocument/2006/relationships/hyperlink" Target="mailto:ti.maclinea@outlook.com" TargetMode="External"/><Relationship Id="rId1" Type="http://schemas.openxmlformats.org/officeDocument/2006/relationships/hyperlink" Target="mailto:luiz.velasquez@maclinea.com.br" TargetMode="External"/><Relationship Id="rId6" Type="http://schemas.openxmlformats.org/officeDocument/2006/relationships/hyperlink" Target="mailto:sanito.moretti@maclinea.com.br" TargetMode="External"/><Relationship Id="rId11" Type="http://schemas.openxmlformats.org/officeDocument/2006/relationships/hyperlink" Target="mailto:maria.druzyk@maclinea.com.br" TargetMode="External"/><Relationship Id="rId24" Type="http://schemas.openxmlformats.org/officeDocument/2006/relationships/hyperlink" Target="mailto:ana.marcelino@maclinea.com.br" TargetMode="External"/><Relationship Id="rId5" Type="http://schemas.openxmlformats.org/officeDocument/2006/relationships/hyperlink" Target="mailto:suemar.costa@maclinea.com.br" TargetMode="External"/><Relationship Id="rId15" Type="http://schemas.openxmlformats.org/officeDocument/2006/relationships/hyperlink" Target="mailto:luiz.machado@maclinea.com" TargetMode="External"/><Relationship Id="rId23" Type="http://schemas.openxmlformats.org/officeDocument/2006/relationships/hyperlink" Target="mailto:taiane.oliveira@maclinea.com.br" TargetMode="External"/><Relationship Id="rId28" Type="http://schemas.openxmlformats.org/officeDocument/2006/relationships/hyperlink" Target="mailto:ti.maclinea@outlook.com" TargetMode="External"/><Relationship Id="rId10" Type="http://schemas.openxmlformats.org/officeDocument/2006/relationships/hyperlink" Target="mailto:tatiane.farias@maclinea.com.br" TargetMode="External"/><Relationship Id="rId19" Type="http://schemas.openxmlformats.org/officeDocument/2006/relationships/hyperlink" Target="mailto:rayanne.mazim@maclinea.com" TargetMode="External"/><Relationship Id="rId4" Type="http://schemas.openxmlformats.org/officeDocument/2006/relationships/hyperlink" Target="mailto:patricia.zorzi@maclinea.com.br" TargetMode="External"/><Relationship Id="rId9" Type="http://schemas.openxmlformats.org/officeDocument/2006/relationships/hyperlink" Target="mailto:flavio.azanha@maclinea.com.br" TargetMode="External"/><Relationship Id="rId14" Type="http://schemas.openxmlformats.org/officeDocument/2006/relationships/hyperlink" Target="mailto:edson.brasil@maclinea.com" TargetMode="External"/><Relationship Id="rId22" Type="http://schemas.openxmlformats.org/officeDocument/2006/relationships/hyperlink" Target="mailto:jonas.kahl@maclinea.com.br" TargetMode="External"/><Relationship Id="rId27" Type="http://schemas.openxmlformats.org/officeDocument/2006/relationships/hyperlink" Target="mailto:josoel.silva@maclinea.com.br" TargetMode="External"/><Relationship Id="rId30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cloud.makrolock.com.br:13355/" TargetMode="External"/><Relationship Id="rId3" Type="http://schemas.openxmlformats.org/officeDocument/2006/relationships/hyperlink" Target="https://clientes.penso.com.br/login" TargetMode="External"/><Relationship Id="rId7" Type="http://schemas.openxmlformats.org/officeDocument/2006/relationships/hyperlink" Target="https://www.locaweb.com.br/" TargetMode="External"/><Relationship Id="rId2" Type="http://schemas.openxmlformats.org/officeDocument/2006/relationships/hyperlink" Target="https://cloud10.baldussi.com.br/suite/" TargetMode="External"/><Relationship Id="rId1" Type="http://schemas.openxmlformats.org/officeDocument/2006/relationships/hyperlink" Target="https://gravityzone.bitdefender.com/" TargetMode="External"/><Relationship Id="rId6" Type="http://schemas.openxmlformats.org/officeDocument/2006/relationships/hyperlink" Target="https://admin.cloud.microsoft/" TargetMode="External"/><Relationship Id="rId11" Type="http://schemas.openxmlformats.org/officeDocument/2006/relationships/hyperlink" Target="https://registro.br/" TargetMode="External"/><Relationship Id="rId5" Type="http://schemas.openxmlformats.org/officeDocument/2006/relationships/hyperlink" Target="https://meutim.tim.com.br/" TargetMode="External"/><Relationship Id="rId10" Type="http://schemas.openxmlformats.org/officeDocument/2006/relationships/hyperlink" Target="https://suporteausland.movidesk.com/" TargetMode="External"/><Relationship Id="rId4" Type="http://schemas.openxmlformats.org/officeDocument/2006/relationships/hyperlink" Target="https://id.avast.com/sso" TargetMode="External"/><Relationship Id="rId9" Type="http://schemas.openxmlformats.org/officeDocument/2006/relationships/hyperlink" Target="https://mve.vivo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553D-4163-4942-B455-BABF79CAE87B}">
  <dimension ref="A1:BA92"/>
  <sheetViews>
    <sheetView topLeftCell="H1" zoomScaleNormal="100" workbookViewId="0">
      <pane ySplit="1" topLeftCell="A2" activePane="bottomLeft" state="frozen"/>
      <selection pane="bottomLeft" activeCell="E31" sqref="E31"/>
    </sheetView>
  </sheetViews>
  <sheetFormatPr defaultRowHeight="14.4" x14ac:dyDescent="0.3"/>
  <cols>
    <col min="1" max="1" width="3.33203125" bestFit="1" customWidth="1"/>
    <col min="2" max="2" width="8.6640625" bestFit="1" customWidth="1"/>
    <col min="3" max="3" width="35.109375" bestFit="1" customWidth="1"/>
    <col min="4" max="4" width="34.5546875" bestFit="1" customWidth="1"/>
    <col min="5" max="5" width="33" bestFit="1" customWidth="1"/>
    <col min="6" max="6" width="16.109375" bestFit="1" customWidth="1"/>
    <col min="7" max="7" width="11.5546875" bestFit="1" customWidth="1"/>
    <col min="8" max="8" width="9.6640625" bestFit="1" customWidth="1"/>
    <col min="9" max="9" width="16.109375" bestFit="1" customWidth="1"/>
    <col min="10" max="10" width="19.5546875" style="4" bestFit="1" customWidth="1"/>
    <col min="11" max="11" width="19" style="4" bestFit="1" customWidth="1"/>
    <col min="12" max="12" width="15.6640625" style="4" bestFit="1" customWidth="1"/>
    <col min="13" max="13" width="11.33203125" style="4" bestFit="1" customWidth="1"/>
    <col min="14" max="14" width="33.6640625" style="4" bestFit="1" customWidth="1"/>
    <col min="15" max="15" width="20.109375" style="4" bestFit="1" customWidth="1"/>
    <col min="16" max="16" width="17.33203125" style="4" bestFit="1" customWidth="1"/>
    <col min="17" max="17" width="32.6640625" style="4" bestFit="1" customWidth="1"/>
    <col min="18" max="18" width="15.44140625" bestFit="1" customWidth="1"/>
    <col min="19" max="19" width="16.33203125" bestFit="1" customWidth="1"/>
    <col min="20" max="20" width="16.88671875" bestFit="1" customWidth="1"/>
    <col min="21" max="21" width="16.88671875" customWidth="1"/>
    <col min="22" max="22" width="7.6640625" bestFit="1" customWidth="1"/>
    <col min="23" max="23" width="16.33203125" bestFit="1" customWidth="1"/>
    <col min="24" max="24" width="12.6640625" bestFit="1" customWidth="1"/>
    <col min="25" max="25" width="25.88671875" bestFit="1" customWidth="1"/>
    <col min="26" max="26" width="24.6640625" bestFit="1" customWidth="1"/>
    <col min="27" max="27" width="20.44140625" bestFit="1" customWidth="1"/>
    <col min="28" max="28" width="12" bestFit="1" customWidth="1"/>
    <col min="29" max="29" width="41.6640625" bestFit="1" customWidth="1"/>
    <col min="30" max="30" width="19.6640625" bestFit="1" customWidth="1"/>
    <col min="31" max="31" width="14.44140625" bestFit="1" customWidth="1"/>
    <col min="32" max="32" width="7.6640625" bestFit="1" customWidth="1"/>
    <col min="33" max="33" width="14.5546875" bestFit="1" customWidth="1"/>
    <col min="34" max="34" width="15.5546875" bestFit="1" customWidth="1"/>
    <col min="35" max="35" width="18.33203125" bestFit="1" customWidth="1"/>
    <col min="36" max="36" width="12" bestFit="1" customWidth="1"/>
    <col min="37" max="37" width="37" bestFit="1" customWidth="1"/>
    <col min="38" max="38" width="15.44140625" bestFit="1" customWidth="1"/>
    <col min="39" max="39" width="9.6640625" bestFit="1" customWidth="1"/>
    <col min="40" max="40" width="10.6640625" bestFit="1" customWidth="1"/>
    <col min="41" max="41" width="26.44140625" bestFit="1" customWidth="1"/>
    <col min="42" max="42" width="15.44140625" bestFit="1" customWidth="1"/>
    <col min="43" max="43" width="9.6640625" bestFit="1" customWidth="1"/>
    <col min="44" max="44" width="10.6640625" bestFit="1" customWidth="1"/>
    <col min="45" max="45" width="25.109375" bestFit="1" customWidth="1"/>
    <col min="46" max="46" width="15.44140625" bestFit="1" customWidth="1"/>
    <col min="47" max="47" width="10.6640625" bestFit="1" customWidth="1"/>
    <col min="48" max="48" width="15.44140625" bestFit="1" customWidth="1"/>
    <col min="49" max="49" width="9.6640625" bestFit="1" customWidth="1"/>
    <col min="50" max="50" width="10.6640625" bestFit="1" customWidth="1"/>
    <col min="51" max="51" width="9.5546875" bestFit="1" customWidth="1"/>
    <col min="52" max="52" width="11" bestFit="1" customWidth="1"/>
    <col min="53" max="53" width="9.33203125" bestFit="1" customWidth="1"/>
  </cols>
  <sheetData>
    <row r="1" spans="1:53" x14ac:dyDescent="0.3">
      <c r="A1" t="s">
        <v>144</v>
      </c>
      <c r="B1" s="1" t="s">
        <v>0</v>
      </c>
      <c r="C1" s="1" t="s">
        <v>22</v>
      </c>
      <c r="D1" s="2" t="s">
        <v>23</v>
      </c>
      <c r="E1" s="2" t="s">
        <v>17</v>
      </c>
      <c r="F1" s="2" t="s">
        <v>683</v>
      </c>
      <c r="G1" s="2" t="s">
        <v>35</v>
      </c>
      <c r="H1" s="2" t="s">
        <v>18</v>
      </c>
      <c r="I1" s="1" t="s">
        <v>27</v>
      </c>
      <c r="J1" s="1" t="s">
        <v>25</v>
      </c>
      <c r="K1" s="1" t="s">
        <v>37</v>
      </c>
      <c r="L1" s="1" t="s">
        <v>38</v>
      </c>
      <c r="M1" s="1" t="s">
        <v>140</v>
      </c>
      <c r="N1" s="1" t="s">
        <v>168</v>
      </c>
      <c r="O1" s="1" t="s">
        <v>145</v>
      </c>
      <c r="P1" s="1" t="s">
        <v>391</v>
      </c>
      <c r="Q1" s="1" t="s">
        <v>392</v>
      </c>
      <c r="R1" s="1" t="s">
        <v>19</v>
      </c>
      <c r="S1" s="1" t="s">
        <v>33</v>
      </c>
      <c r="T1" s="1" t="s">
        <v>591</v>
      </c>
      <c r="U1" s="1" t="s">
        <v>592</v>
      </c>
      <c r="V1" s="1" t="s">
        <v>24</v>
      </c>
      <c r="W1" s="2" t="s">
        <v>1</v>
      </c>
      <c r="X1" s="2" t="s">
        <v>2</v>
      </c>
      <c r="Y1" s="2" t="s">
        <v>3</v>
      </c>
      <c r="Z1" s="10" t="s">
        <v>4</v>
      </c>
      <c r="AA1" s="1" t="s">
        <v>40</v>
      </c>
      <c r="AB1" s="10" t="s">
        <v>34</v>
      </c>
      <c r="AC1" s="10" t="s">
        <v>96</v>
      </c>
      <c r="AD1" s="10" t="s">
        <v>9</v>
      </c>
      <c r="AE1" s="10" t="s">
        <v>10</v>
      </c>
      <c r="AF1" s="10" t="s">
        <v>24</v>
      </c>
      <c r="AG1" s="10" t="s">
        <v>68</v>
      </c>
      <c r="AH1" s="10" t="s">
        <v>3</v>
      </c>
      <c r="AI1" s="9" t="s">
        <v>4</v>
      </c>
      <c r="AJ1" s="10" t="s">
        <v>34</v>
      </c>
      <c r="AK1" s="10" t="s">
        <v>64</v>
      </c>
      <c r="AL1" s="2" t="s">
        <v>5</v>
      </c>
      <c r="AM1" s="2" t="s">
        <v>2</v>
      </c>
      <c r="AN1" s="2" t="s">
        <v>3</v>
      </c>
      <c r="AO1" s="10" t="s">
        <v>4</v>
      </c>
      <c r="AP1" s="2" t="s">
        <v>6</v>
      </c>
      <c r="AQ1" s="2" t="s">
        <v>2</v>
      </c>
      <c r="AR1" s="2" t="s">
        <v>3</v>
      </c>
      <c r="AS1" s="10" t="s">
        <v>4</v>
      </c>
      <c r="AT1" s="2" t="s">
        <v>7</v>
      </c>
      <c r="AU1" s="2" t="s">
        <v>3</v>
      </c>
      <c r="AV1" s="2" t="s">
        <v>8</v>
      </c>
      <c r="AW1" s="2" t="s">
        <v>2</v>
      </c>
      <c r="AX1" s="2" t="s">
        <v>3</v>
      </c>
      <c r="AY1" s="2" t="s">
        <v>880</v>
      </c>
      <c r="AZ1" s="1" t="s">
        <v>279</v>
      </c>
      <c r="BA1" s="2" t="s">
        <v>387</v>
      </c>
    </row>
    <row r="2" spans="1:53" x14ac:dyDescent="0.3">
      <c r="A2" s="21">
        <v>1</v>
      </c>
      <c r="B2" s="18">
        <v>2181</v>
      </c>
      <c r="C2" s="18"/>
      <c r="D2" s="18" t="s">
        <v>63</v>
      </c>
      <c r="E2" s="19" t="s">
        <v>65</v>
      </c>
      <c r="F2" s="72"/>
      <c r="G2" s="20" t="s">
        <v>26</v>
      </c>
      <c r="H2" s="18" t="s">
        <v>43</v>
      </c>
      <c r="I2" s="18" t="s">
        <v>36</v>
      </c>
      <c r="J2" s="21"/>
      <c r="K2" s="21" t="s">
        <v>66</v>
      </c>
      <c r="L2" s="21"/>
      <c r="M2" s="21">
        <v>365</v>
      </c>
      <c r="N2" s="21"/>
      <c r="O2" s="21">
        <v>60.03</v>
      </c>
      <c r="P2" s="21" t="s">
        <v>395</v>
      </c>
      <c r="Q2" s="21"/>
      <c r="R2" s="18" t="s">
        <v>39</v>
      </c>
      <c r="S2" s="21" t="s">
        <v>70</v>
      </c>
      <c r="T2" s="18" t="s">
        <v>69</v>
      </c>
      <c r="U2" s="18"/>
      <c r="V2" s="18">
        <v>1</v>
      </c>
      <c r="W2" s="18" t="s">
        <v>11</v>
      </c>
      <c r="X2" s="18" t="s">
        <v>21</v>
      </c>
      <c r="Y2" s="18" t="s">
        <v>42</v>
      </c>
      <c r="Z2" s="18" t="s">
        <v>71</v>
      </c>
      <c r="AA2" s="21" t="s">
        <v>41</v>
      </c>
      <c r="AB2" s="21" t="s">
        <v>67</v>
      </c>
      <c r="AC2" s="18"/>
      <c r="AD2" s="18">
        <v>2187</v>
      </c>
      <c r="AE2" s="18" t="s">
        <v>16</v>
      </c>
      <c r="AF2" s="18">
        <v>1</v>
      </c>
      <c r="AG2" s="18">
        <v>24</v>
      </c>
      <c r="AH2" s="18" t="s">
        <v>74</v>
      </c>
      <c r="AI2" s="18" t="s">
        <v>75</v>
      </c>
      <c r="AJ2" s="18" t="s">
        <v>67</v>
      </c>
      <c r="AK2" s="18"/>
      <c r="AL2" s="18" t="s">
        <v>13</v>
      </c>
      <c r="AM2" s="18" t="s">
        <v>14</v>
      </c>
      <c r="AN2" s="18" t="s">
        <v>72</v>
      </c>
      <c r="AO2" s="18" t="s">
        <v>73</v>
      </c>
      <c r="AP2" s="18"/>
      <c r="AQ2" s="18"/>
      <c r="AR2" s="18"/>
      <c r="AS2" s="18"/>
      <c r="AT2" s="18"/>
      <c r="AU2" s="18"/>
      <c r="AV2" s="18"/>
      <c r="AW2" s="18"/>
      <c r="AX2" s="18"/>
      <c r="AY2" t="s">
        <v>203</v>
      </c>
      <c r="AZ2">
        <v>1975675744</v>
      </c>
    </row>
    <row r="3" spans="1:53" x14ac:dyDescent="0.3">
      <c r="A3" s="4">
        <v>2</v>
      </c>
      <c r="C3" t="s">
        <v>63</v>
      </c>
      <c r="D3" t="s">
        <v>44</v>
      </c>
      <c r="E3" s="5" t="s">
        <v>45</v>
      </c>
      <c r="F3" s="70"/>
      <c r="G3" s="3" t="s">
        <v>26</v>
      </c>
      <c r="H3" t="s">
        <v>43</v>
      </c>
      <c r="I3" t="s">
        <v>36</v>
      </c>
      <c r="M3" s="4">
        <v>2013</v>
      </c>
      <c r="O3" s="4">
        <v>23.99</v>
      </c>
      <c r="V3">
        <v>1</v>
      </c>
      <c r="W3" t="s">
        <v>20</v>
      </c>
      <c r="X3" t="s">
        <v>555</v>
      </c>
      <c r="Y3" t="s">
        <v>556</v>
      </c>
      <c r="AA3" s="4" t="s">
        <v>289</v>
      </c>
      <c r="AB3" s="4" t="s">
        <v>290</v>
      </c>
      <c r="AZ3" t="s">
        <v>682</v>
      </c>
    </row>
    <row r="4" spans="1:53" x14ac:dyDescent="0.3">
      <c r="A4" s="21">
        <v>3</v>
      </c>
      <c r="B4" s="18">
        <v>2174</v>
      </c>
      <c r="C4" s="18" t="s">
        <v>76</v>
      </c>
      <c r="D4" s="18" t="s">
        <v>476</v>
      </c>
      <c r="E4" s="19" t="s">
        <v>77</v>
      </c>
      <c r="F4" s="72"/>
      <c r="G4" s="20" t="s">
        <v>490</v>
      </c>
      <c r="H4" s="18" t="s">
        <v>139</v>
      </c>
      <c r="I4" s="18" t="s">
        <v>79</v>
      </c>
      <c r="J4" s="21"/>
      <c r="K4" s="21" t="s">
        <v>489</v>
      </c>
      <c r="L4" s="21"/>
      <c r="M4" s="21">
        <v>365</v>
      </c>
      <c r="N4" s="21"/>
      <c r="O4" s="21">
        <v>60.03</v>
      </c>
      <c r="P4" s="21" t="s">
        <v>395</v>
      </c>
      <c r="Q4" s="21"/>
      <c r="R4" s="18" t="s">
        <v>273</v>
      </c>
      <c r="S4" s="18"/>
      <c r="T4" s="18" t="s">
        <v>274</v>
      </c>
      <c r="U4" s="18"/>
      <c r="V4" s="18">
        <v>1</v>
      </c>
      <c r="W4" s="18" t="s">
        <v>20</v>
      </c>
      <c r="X4" s="18" t="s">
        <v>12</v>
      </c>
      <c r="Y4" s="18" t="s">
        <v>345</v>
      </c>
      <c r="Z4" s="18" t="s">
        <v>275</v>
      </c>
      <c r="AA4" s="21" t="s">
        <v>41</v>
      </c>
      <c r="AB4" s="21" t="s">
        <v>67</v>
      </c>
      <c r="AC4" s="18"/>
      <c r="AD4" s="18"/>
      <c r="AE4" s="18"/>
      <c r="AF4" s="18"/>
      <c r="AG4" s="18"/>
      <c r="AH4" s="18"/>
      <c r="AI4" s="18"/>
      <c r="AJ4" s="18"/>
      <c r="AK4" s="18"/>
      <c r="AL4" s="18" t="s">
        <v>176</v>
      </c>
      <c r="AM4" s="18" t="s">
        <v>12</v>
      </c>
      <c r="AN4" s="18" t="s">
        <v>181</v>
      </c>
      <c r="AO4" s="18" t="s">
        <v>276</v>
      </c>
      <c r="AP4" s="18" t="s">
        <v>177</v>
      </c>
      <c r="AQ4" s="18" t="s">
        <v>12</v>
      </c>
      <c r="AR4" s="18" t="s">
        <v>179</v>
      </c>
      <c r="AS4" s="18" t="s">
        <v>277</v>
      </c>
      <c r="AT4" s="18"/>
      <c r="AU4" s="18"/>
      <c r="AV4" s="18"/>
      <c r="AW4" s="18"/>
      <c r="AX4" s="18"/>
      <c r="AY4" t="s">
        <v>203</v>
      </c>
      <c r="AZ4">
        <v>1755352999</v>
      </c>
    </row>
    <row r="5" spans="1:53" x14ac:dyDescent="0.3">
      <c r="A5" s="4">
        <v>4</v>
      </c>
      <c r="B5">
        <v>2168</v>
      </c>
      <c r="D5" t="s">
        <v>59</v>
      </c>
      <c r="E5" s="5" t="s">
        <v>91</v>
      </c>
      <c r="F5" s="70"/>
      <c r="G5" s="3" t="s">
        <v>26</v>
      </c>
      <c r="H5" t="s">
        <v>43</v>
      </c>
      <c r="I5" t="s">
        <v>30</v>
      </c>
      <c r="M5" s="4">
        <v>365</v>
      </c>
      <c r="O5" s="4">
        <v>60.03</v>
      </c>
      <c r="P5" s="4" t="s">
        <v>395</v>
      </c>
      <c r="R5" t="s">
        <v>94</v>
      </c>
      <c r="S5" t="s">
        <v>92</v>
      </c>
      <c r="T5" t="s">
        <v>93</v>
      </c>
      <c r="V5">
        <v>1</v>
      </c>
      <c r="W5" t="s">
        <v>11</v>
      </c>
      <c r="X5" t="s">
        <v>12</v>
      </c>
      <c r="Y5" t="s">
        <v>646</v>
      </c>
      <c r="Z5" t="s">
        <v>95</v>
      </c>
      <c r="AA5" s="4" t="s">
        <v>41</v>
      </c>
      <c r="AB5" s="4" t="s">
        <v>67</v>
      </c>
      <c r="AD5">
        <v>2174</v>
      </c>
      <c r="AE5" t="s">
        <v>312</v>
      </c>
      <c r="AF5">
        <v>1</v>
      </c>
      <c r="AG5">
        <v>24</v>
      </c>
      <c r="AH5" t="s">
        <v>313</v>
      </c>
      <c r="AI5" t="s">
        <v>314</v>
      </c>
      <c r="AJ5" t="s">
        <v>290</v>
      </c>
      <c r="AL5" t="s">
        <v>13</v>
      </c>
      <c r="AM5" t="s">
        <v>14</v>
      </c>
      <c r="AP5" t="s">
        <v>146</v>
      </c>
      <c r="AQ5" t="s">
        <v>14</v>
      </c>
      <c r="AY5" t="s">
        <v>203</v>
      </c>
      <c r="AZ5">
        <v>1088736989</v>
      </c>
    </row>
    <row r="6" spans="1:53" x14ac:dyDescent="0.3">
      <c r="A6" s="21">
        <v>5</v>
      </c>
      <c r="B6" s="18">
        <v>2172</v>
      </c>
      <c r="C6" s="18"/>
      <c r="D6" s="18" t="s">
        <v>97</v>
      </c>
      <c r="E6" s="19" t="s">
        <v>126</v>
      </c>
      <c r="F6" s="72"/>
      <c r="G6" s="20" t="s">
        <v>26</v>
      </c>
      <c r="H6" s="18" t="s">
        <v>43</v>
      </c>
      <c r="I6" s="18" t="s">
        <v>30</v>
      </c>
      <c r="J6" s="21"/>
      <c r="K6" s="21"/>
      <c r="L6" s="21"/>
      <c r="M6" s="21">
        <v>365</v>
      </c>
      <c r="N6" s="21"/>
      <c r="O6" s="21">
        <v>60.03</v>
      </c>
      <c r="P6" s="21" t="s">
        <v>395</v>
      </c>
      <c r="Q6" s="21"/>
      <c r="R6" s="18" t="s">
        <v>98</v>
      </c>
      <c r="S6" s="18" t="s">
        <v>99</v>
      </c>
      <c r="T6" s="18" t="s">
        <v>100</v>
      </c>
      <c r="U6" s="18"/>
      <c r="V6" s="18">
        <v>1</v>
      </c>
      <c r="W6" s="18" t="s">
        <v>11</v>
      </c>
      <c r="X6" s="18" t="s">
        <v>12</v>
      </c>
      <c r="Y6" s="18" t="s">
        <v>101</v>
      </c>
      <c r="Z6" s="18" t="s">
        <v>102</v>
      </c>
      <c r="AA6" s="21" t="s">
        <v>41</v>
      </c>
      <c r="AB6" s="21" t="s">
        <v>67</v>
      </c>
      <c r="AC6" s="18"/>
      <c r="AD6" s="18"/>
      <c r="AE6" s="18"/>
      <c r="AF6" s="18"/>
      <c r="AG6" s="18"/>
      <c r="AH6" s="18"/>
      <c r="AI6" s="18"/>
      <c r="AJ6" s="18"/>
      <c r="AK6" s="18"/>
      <c r="AL6" s="18" t="s">
        <v>13</v>
      </c>
      <c r="AM6" s="18" t="s">
        <v>14</v>
      </c>
      <c r="AN6" s="18" t="s">
        <v>15</v>
      </c>
      <c r="AO6" s="18" t="s">
        <v>384</v>
      </c>
      <c r="AP6" s="18" t="s">
        <v>146</v>
      </c>
      <c r="AQ6" s="18" t="s">
        <v>14</v>
      </c>
      <c r="AR6" s="18" t="s">
        <v>171</v>
      </c>
      <c r="AS6" s="18" t="s">
        <v>385</v>
      </c>
      <c r="AT6" s="18"/>
      <c r="AU6" s="18"/>
      <c r="AV6" s="18"/>
      <c r="AW6" s="18"/>
      <c r="AX6" s="18"/>
      <c r="AY6" t="s">
        <v>203</v>
      </c>
      <c r="AZ6">
        <v>1892181889</v>
      </c>
      <c r="BA6" t="s">
        <v>386</v>
      </c>
    </row>
    <row r="7" spans="1:53" x14ac:dyDescent="0.3">
      <c r="A7" s="4">
        <v>6</v>
      </c>
      <c r="B7" s="6">
        <v>2170</v>
      </c>
      <c r="C7" s="6"/>
      <c r="D7" s="6" t="s">
        <v>120</v>
      </c>
      <c r="E7" s="11" t="s">
        <v>121</v>
      </c>
      <c r="F7" s="73"/>
      <c r="G7" s="8" t="s">
        <v>26</v>
      </c>
      <c r="H7" s="6" t="s">
        <v>43</v>
      </c>
      <c r="I7" s="6" t="s">
        <v>29</v>
      </c>
      <c r="M7" s="4">
        <v>365</v>
      </c>
      <c r="O7" s="4">
        <v>60.03</v>
      </c>
      <c r="P7" s="4" t="s">
        <v>395</v>
      </c>
      <c r="R7" s="6" t="s">
        <v>122</v>
      </c>
      <c r="S7" s="6" t="s">
        <v>123</v>
      </c>
      <c r="T7" s="6" t="s">
        <v>124</v>
      </c>
      <c r="U7" s="6"/>
      <c r="V7" s="6">
        <v>1</v>
      </c>
      <c r="W7" s="6" t="s">
        <v>11</v>
      </c>
      <c r="X7" s="6" t="s">
        <v>12</v>
      </c>
      <c r="Y7" s="6" t="s">
        <v>646</v>
      </c>
      <c r="Z7" s="6" t="s">
        <v>125</v>
      </c>
      <c r="AA7" s="4" t="s">
        <v>41</v>
      </c>
      <c r="AB7" s="4" t="s">
        <v>67</v>
      </c>
      <c r="AC7" s="6"/>
      <c r="AD7" s="6"/>
      <c r="AE7" s="6"/>
      <c r="AF7" s="6"/>
      <c r="AG7" s="6"/>
      <c r="AH7" s="6"/>
      <c r="AI7" s="6"/>
      <c r="AJ7" s="6"/>
      <c r="AK7" s="6"/>
      <c r="AL7" s="6" t="s">
        <v>13</v>
      </c>
      <c r="AM7" s="6" t="s">
        <v>14</v>
      </c>
      <c r="AN7" s="6" t="s">
        <v>15</v>
      </c>
      <c r="AO7" s="6"/>
      <c r="AP7" s="6" t="s">
        <v>146</v>
      </c>
      <c r="AQ7" s="6" t="s">
        <v>14</v>
      </c>
      <c r="AR7" s="6" t="s">
        <v>171</v>
      </c>
      <c r="AS7" s="6"/>
      <c r="AT7" s="6"/>
      <c r="AU7" s="6"/>
      <c r="AV7" s="6"/>
      <c r="AW7" s="6"/>
      <c r="AX7" s="6"/>
      <c r="AY7" t="s">
        <v>203</v>
      </c>
      <c r="AZ7">
        <v>1502015353</v>
      </c>
    </row>
    <row r="8" spans="1:53" x14ac:dyDescent="0.3">
      <c r="A8" s="21">
        <v>7</v>
      </c>
      <c r="B8" s="22">
        <v>2175</v>
      </c>
      <c r="C8" s="22"/>
      <c r="D8" s="22" t="s">
        <v>141</v>
      </c>
      <c r="E8" s="24" t="s">
        <v>191</v>
      </c>
      <c r="F8" s="74"/>
      <c r="G8" s="23" t="s">
        <v>26</v>
      </c>
      <c r="H8" s="22" t="s">
        <v>43</v>
      </c>
      <c r="I8" s="22" t="s">
        <v>32</v>
      </c>
      <c r="J8" s="21"/>
      <c r="K8" s="21"/>
      <c r="L8" s="21"/>
      <c r="M8" s="21">
        <v>365</v>
      </c>
      <c r="N8" s="21"/>
      <c r="O8" s="21">
        <v>60.03</v>
      </c>
      <c r="P8" s="21" t="s">
        <v>395</v>
      </c>
      <c r="Q8" s="21"/>
      <c r="R8" s="22" t="s">
        <v>215</v>
      </c>
      <c r="S8" s="22"/>
      <c r="T8" s="22" t="s">
        <v>216</v>
      </c>
      <c r="U8" s="22"/>
      <c r="V8" s="22">
        <v>1</v>
      </c>
      <c r="W8" s="22" t="s">
        <v>20</v>
      </c>
      <c r="X8" s="22" t="s">
        <v>12</v>
      </c>
      <c r="Y8" s="22" t="s">
        <v>345</v>
      </c>
      <c r="Z8" s="22" t="s">
        <v>217</v>
      </c>
      <c r="AA8" s="21" t="s">
        <v>41</v>
      </c>
      <c r="AB8" s="21" t="s">
        <v>67</v>
      </c>
      <c r="AC8" s="22"/>
      <c r="AD8" s="22">
        <v>2184</v>
      </c>
      <c r="AE8" s="22" t="s">
        <v>16</v>
      </c>
      <c r="AF8" s="22">
        <v>1</v>
      </c>
      <c r="AG8" s="22">
        <v>24</v>
      </c>
      <c r="AH8" s="22" t="s">
        <v>439</v>
      </c>
      <c r="AI8" s="22" t="s">
        <v>440</v>
      </c>
      <c r="AJ8" s="22" t="s">
        <v>67</v>
      </c>
      <c r="AK8" s="22"/>
      <c r="AL8" s="22" t="s">
        <v>176</v>
      </c>
      <c r="AM8" s="22" t="s">
        <v>12</v>
      </c>
      <c r="AN8" s="22" t="s">
        <v>181</v>
      </c>
      <c r="AO8" s="22" t="s">
        <v>218</v>
      </c>
      <c r="AP8" s="22" t="s">
        <v>177</v>
      </c>
      <c r="AQ8" s="22" t="s">
        <v>12</v>
      </c>
      <c r="AR8" s="22" t="s">
        <v>179</v>
      </c>
      <c r="AS8" s="22" t="s">
        <v>219</v>
      </c>
      <c r="AT8" s="22"/>
      <c r="AU8" s="22"/>
      <c r="AV8" s="22"/>
      <c r="AW8" s="22"/>
      <c r="AX8" s="22"/>
      <c r="AY8" t="s">
        <v>203</v>
      </c>
      <c r="AZ8">
        <v>1918619427</v>
      </c>
      <c r="BA8" t="s">
        <v>386</v>
      </c>
    </row>
    <row r="9" spans="1:53" x14ac:dyDescent="0.3">
      <c r="A9" s="4">
        <v>8</v>
      </c>
      <c r="B9" s="6">
        <v>2169</v>
      </c>
      <c r="C9" s="6"/>
      <c r="D9" s="6" t="s">
        <v>128</v>
      </c>
      <c r="E9" s="5" t="s">
        <v>164</v>
      </c>
      <c r="F9" s="70"/>
      <c r="G9" s="8" t="s">
        <v>26</v>
      </c>
      <c r="H9" s="6" t="s">
        <v>43</v>
      </c>
      <c r="I9" s="6" t="s">
        <v>129</v>
      </c>
      <c r="M9" s="4">
        <v>365</v>
      </c>
      <c r="O9" s="4">
        <v>60.03</v>
      </c>
      <c r="P9" s="4" t="s">
        <v>395</v>
      </c>
      <c r="R9" s="6" t="s">
        <v>163</v>
      </c>
      <c r="S9" s="6" t="s">
        <v>161</v>
      </c>
      <c r="T9" s="6" t="s">
        <v>162</v>
      </c>
      <c r="U9" s="6"/>
      <c r="V9" s="6">
        <v>1</v>
      </c>
      <c r="W9" s="6" t="s">
        <v>11</v>
      </c>
      <c r="X9" s="6" t="s">
        <v>12</v>
      </c>
      <c r="Y9" s="6" t="s">
        <v>646</v>
      </c>
      <c r="Z9" s="6" t="s">
        <v>160</v>
      </c>
      <c r="AA9" s="4" t="s">
        <v>41</v>
      </c>
      <c r="AB9" s="4" t="s">
        <v>67</v>
      </c>
      <c r="AC9" s="6"/>
      <c r="AD9" s="6"/>
      <c r="AE9" s="6"/>
      <c r="AF9" s="6"/>
      <c r="AG9" s="6"/>
      <c r="AH9" s="6"/>
      <c r="AI9" s="6"/>
      <c r="AJ9" s="6"/>
      <c r="AK9" s="6"/>
      <c r="AL9" s="6" t="s">
        <v>13</v>
      </c>
      <c r="AM9" s="6" t="s">
        <v>14</v>
      </c>
      <c r="AN9" s="6" t="s">
        <v>15</v>
      </c>
      <c r="AO9" s="6" t="s">
        <v>170</v>
      </c>
      <c r="AP9" s="6" t="s">
        <v>146</v>
      </c>
      <c r="AQ9" s="6" t="s">
        <v>14</v>
      </c>
      <c r="AR9" s="6" t="s">
        <v>171</v>
      </c>
      <c r="AS9" s="6" t="s">
        <v>172</v>
      </c>
      <c r="AT9" s="6"/>
      <c r="AU9" s="6"/>
      <c r="AV9" s="6"/>
      <c r="AW9" s="6"/>
      <c r="AX9" s="6"/>
    </row>
    <row r="10" spans="1:53" x14ac:dyDescent="0.3">
      <c r="A10" s="21">
        <v>9</v>
      </c>
      <c r="B10" s="22">
        <v>2180</v>
      </c>
      <c r="C10" s="22" t="s">
        <v>130</v>
      </c>
      <c r="D10" s="22" t="s">
        <v>878</v>
      </c>
      <c r="E10" s="19" t="s">
        <v>278</v>
      </c>
      <c r="F10" s="94" t="s">
        <v>684</v>
      </c>
      <c r="G10" s="23" t="s">
        <v>26</v>
      </c>
      <c r="H10" s="22" t="s">
        <v>43</v>
      </c>
      <c r="I10" s="22" t="s">
        <v>131</v>
      </c>
      <c r="J10" s="21"/>
      <c r="K10" s="21"/>
      <c r="L10" s="21"/>
      <c r="M10" s="21">
        <v>365</v>
      </c>
      <c r="N10" s="21"/>
      <c r="O10" s="21">
        <v>60.03</v>
      </c>
      <c r="P10" s="21" t="s">
        <v>395</v>
      </c>
      <c r="Q10" s="21"/>
      <c r="R10" s="22" t="s">
        <v>183</v>
      </c>
      <c r="S10" s="22"/>
      <c r="T10" s="22" t="s">
        <v>281</v>
      </c>
      <c r="U10" s="22"/>
      <c r="V10" s="22">
        <v>1</v>
      </c>
      <c r="W10" s="22" t="s">
        <v>20</v>
      </c>
      <c r="X10" s="22" t="s">
        <v>12</v>
      </c>
      <c r="Y10" s="22" t="s">
        <v>345</v>
      </c>
      <c r="Z10" s="22" t="s">
        <v>280</v>
      </c>
      <c r="AA10" s="21" t="s">
        <v>41</v>
      </c>
      <c r="AB10" s="21" t="s">
        <v>67</v>
      </c>
      <c r="AC10" s="22"/>
      <c r="AD10" s="22"/>
      <c r="AE10" s="22"/>
      <c r="AF10" s="22"/>
      <c r="AG10" s="22"/>
      <c r="AH10" s="22"/>
      <c r="AI10" s="22"/>
      <c r="AJ10" s="22"/>
      <c r="AK10" s="22"/>
      <c r="AL10" s="22" t="s">
        <v>176</v>
      </c>
      <c r="AM10" s="22" t="s">
        <v>12</v>
      </c>
      <c r="AN10" s="22" t="s">
        <v>181</v>
      </c>
      <c r="AO10" s="22"/>
      <c r="AP10" s="22" t="s">
        <v>177</v>
      </c>
      <c r="AQ10" s="22" t="s">
        <v>12</v>
      </c>
      <c r="AR10" s="22" t="s">
        <v>179</v>
      </c>
      <c r="AS10" s="22"/>
      <c r="AT10" s="22"/>
      <c r="AU10" s="22"/>
      <c r="AV10" s="22"/>
      <c r="AW10" s="22"/>
      <c r="AX10" s="22"/>
      <c r="AY10" t="s">
        <v>203</v>
      </c>
      <c r="AZ10">
        <v>1165822281</v>
      </c>
    </row>
    <row r="11" spans="1:53" ht="28.8" x14ac:dyDescent="0.3">
      <c r="A11" s="4">
        <v>10</v>
      </c>
      <c r="B11" s="6"/>
      <c r="C11" s="6"/>
      <c r="D11" s="6" t="s">
        <v>132</v>
      </c>
      <c r="E11" s="5" t="s">
        <v>300</v>
      </c>
      <c r="F11" s="70"/>
      <c r="G11" s="8" t="s">
        <v>26</v>
      </c>
      <c r="H11" s="6" t="s">
        <v>43</v>
      </c>
      <c r="I11" s="6" t="s">
        <v>31</v>
      </c>
      <c r="M11" s="4">
        <v>365</v>
      </c>
      <c r="O11" s="4">
        <v>60.03</v>
      </c>
      <c r="R11" s="6"/>
      <c r="S11" s="6"/>
      <c r="T11" s="6"/>
      <c r="U11" s="6"/>
      <c r="V11" s="6"/>
      <c r="W11" s="6"/>
      <c r="X11" s="6"/>
      <c r="Y11" s="6"/>
      <c r="Z11" s="6"/>
      <c r="AA11" s="4"/>
      <c r="AB11" s="4"/>
      <c r="AC11" s="6"/>
      <c r="AD11" s="93" t="s">
        <v>780</v>
      </c>
      <c r="AE11" s="6" t="s">
        <v>16</v>
      </c>
      <c r="AF11" s="6">
        <v>2</v>
      </c>
      <c r="AG11" s="93" t="s">
        <v>779</v>
      </c>
      <c r="AH11" s="7" t="s">
        <v>781</v>
      </c>
      <c r="AI11" s="7" t="s">
        <v>782</v>
      </c>
      <c r="AJ11" s="64" t="s">
        <v>290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3" x14ac:dyDescent="0.3">
      <c r="A12" s="21">
        <v>11</v>
      </c>
      <c r="B12" s="22">
        <v>2173</v>
      </c>
      <c r="C12" s="22"/>
      <c r="D12" s="22" t="s">
        <v>133</v>
      </c>
      <c r="E12" s="24" t="s">
        <v>301</v>
      </c>
      <c r="F12" s="74"/>
      <c r="G12" s="23" t="s">
        <v>26</v>
      </c>
      <c r="H12" s="22" t="s">
        <v>43</v>
      </c>
      <c r="I12" s="22" t="s">
        <v>29</v>
      </c>
      <c r="J12" s="21"/>
      <c r="K12" s="21"/>
      <c r="L12" s="21"/>
      <c r="M12" s="21">
        <v>365</v>
      </c>
      <c r="N12" s="21"/>
      <c r="O12" s="21">
        <v>60.03</v>
      </c>
      <c r="P12" s="21" t="s">
        <v>395</v>
      </c>
      <c r="Q12" s="21"/>
      <c r="R12" s="22" t="s">
        <v>365</v>
      </c>
      <c r="S12" s="22"/>
      <c r="T12" s="22" t="s">
        <v>363</v>
      </c>
      <c r="U12" s="22"/>
      <c r="V12" s="22">
        <v>1</v>
      </c>
      <c r="W12" s="22" t="s">
        <v>20</v>
      </c>
      <c r="X12" s="22" t="s">
        <v>12</v>
      </c>
      <c r="Y12" s="22" t="s">
        <v>345</v>
      </c>
      <c r="Z12" s="22" t="s">
        <v>359</v>
      </c>
      <c r="AA12" s="21" t="s">
        <v>41</v>
      </c>
      <c r="AB12" s="21" t="s">
        <v>67</v>
      </c>
      <c r="AC12" s="22"/>
      <c r="AD12" s="22">
        <v>2190</v>
      </c>
      <c r="AE12" s="22" t="s">
        <v>16</v>
      </c>
      <c r="AF12" s="22">
        <v>1</v>
      </c>
      <c r="AG12" s="22">
        <v>24</v>
      </c>
      <c r="AH12" s="22" t="s">
        <v>74</v>
      </c>
      <c r="AI12" s="22" t="s">
        <v>371</v>
      </c>
      <c r="AJ12" s="22" t="s">
        <v>67</v>
      </c>
      <c r="AK12" s="22"/>
      <c r="AL12" s="22" t="s">
        <v>176</v>
      </c>
      <c r="AM12" s="22" t="s">
        <v>12</v>
      </c>
      <c r="AN12" s="22" t="s">
        <v>181</v>
      </c>
      <c r="AO12" s="22" t="s">
        <v>361</v>
      </c>
      <c r="AP12" s="22" t="s">
        <v>177</v>
      </c>
      <c r="AQ12" s="22" t="s">
        <v>12</v>
      </c>
      <c r="AR12" s="22" t="s">
        <v>179</v>
      </c>
      <c r="AS12" s="22" t="s">
        <v>360</v>
      </c>
      <c r="AT12" s="22"/>
      <c r="AU12" s="22"/>
      <c r="AV12" s="22"/>
      <c r="AW12" s="22"/>
      <c r="AX12" s="22"/>
      <c r="AY12" t="s">
        <v>203</v>
      </c>
      <c r="AZ12">
        <v>1243683083</v>
      </c>
    </row>
    <row r="13" spans="1:53" x14ac:dyDescent="0.3">
      <c r="A13" s="4">
        <v>12</v>
      </c>
      <c r="B13" s="6"/>
      <c r="C13" s="6"/>
      <c r="D13" s="6" t="s">
        <v>134</v>
      </c>
      <c r="E13" s="11" t="s">
        <v>302</v>
      </c>
      <c r="F13" s="73"/>
      <c r="G13" s="8" t="s">
        <v>26</v>
      </c>
      <c r="H13" s="6" t="s">
        <v>43</v>
      </c>
      <c r="I13" s="6" t="s">
        <v>28</v>
      </c>
      <c r="M13" s="4">
        <v>365</v>
      </c>
      <c r="O13" s="4">
        <v>60.03</v>
      </c>
      <c r="P13" s="4" t="s">
        <v>395</v>
      </c>
      <c r="R13" s="6" t="s">
        <v>717</v>
      </c>
      <c r="S13" s="6" t="s">
        <v>680</v>
      </c>
      <c r="T13" s="6" t="s">
        <v>679</v>
      </c>
      <c r="U13" s="6"/>
      <c r="V13" s="6">
        <v>1</v>
      </c>
      <c r="W13" s="6" t="s">
        <v>11</v>
      </c>
      <c r="X13" s="6" t="s">
        <v>425</v>
      </c>
      <c r="Y13" s="6" t="s">
        <v>559</v>
      </c>
      <c r="Z13" s="6" t="s">
        <v>681</v>
      </c>
      <c r="AA13" s="4" t="s">
        <v>289</v>
      </c>
      <c r="AB13" s="4" t="s">
        <v>290</v>
      </c>
      <c r="AC13" s="6" t="s">
        <v>563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Z13">
        <v>1256969323</v>
      </c>
    </row>
    <row r="14" spans="1:53" x14ac:dyDescent="0.3">
      <c r="A14" s="21">
        <v>13</v>
      </c>
      <c r="B14" s="22"/>
      <c r="C14" s="22"/>
      <c r="D14" s="22" t="s">
        <v>188</v>
      </c>
      <c r="E14" s="24" t="s">
        <v>189</v>
      </c>
      <c r="F14" s="74"/>
      <c r="G14" s="23" t="s">
        <v>26</v>
      </c>
      <c r="H14" s="22" t="s">
        <v>43</v>
      </c>
      <c r="I14" s="22" t="s">
        <v>135</v>
      </c>
      <c r="J14" s="21"/>
      <c r="K14" s="21"/>
      <c r="L14" s="21"/>
      <c r="M14" s="21">
        <v>365</v>
      </c>
      <c r="N14" s="21"/>
      <c r="O14" s="21">
        <v>60.03</v>
      </c>
      <c r="P14" s="21" t="s">
        <v>395</v>
      </c>
      <c r="Q14" s="21"/>
      <c r="R14" s="22" t="s">
        <v>558</v>
      </c>
      <c r="S14" s="22" t="s">
        <v>561</v>
      </c>
      <c r="T14" s="22" t="s">
        <v>560</v>
      </c>
      <c r="U14" s="22"/>
      <c r="V14" s="22">
        <v>1</v>
      </c>
      <c r="W14" s="22" t="s">
        <v>11</v>
      </c>
      <c r="X14" s="22" t="s">
        <v>425</v>
      </c>
      <c r="Y14" s="22" t="s">
        <v>559</v>
      </c>
      <c r="Z14" s="22" t="s">
        <v>562</v>
      </c>
      <c r="AA14" s="21" t="s">
        <v>289</v>
      </c>
      <c r="AB14" s="21" t="s">
        <v>290</v>
      </c>
      <c r="AC14" s="22" t="s">
        <v>563</v>
      </c>
      <c r="AD14" s="22">
        <v>2185</v>
      </c>
      <c r="AE14" s="22" t="s">
        <v>16</v>
      </c>
      <c r="AF14" s="22">
        <v>1</v>
      </c>
      <c r="AG14" s="22">
        <v>24</v>
      </c>
      <c r="AH14" s="22" t="s">
        <v>74</v>
      </c>
      <c r="AI14" s="22" t="s">
        <v>175</v>
      </c>
      <c r="AJ14" s="22" t="s">
        <v>67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</row>
    <row r="15" spans="1:53" x14ac:dyDescent="0.3">
      <c r="A15" s="4">
        <v>14</v>
      </c>
      <c r="B15" s="6"/>
      <c r="C15" s="6"/>
      <c r="D15" s="6" t="s">
        <v>136</v>
      </c>
      <c r="E15" s="11" t="s">
        <v>190</v>
      </c>
      <c r="F15" s="73"/>
      <c r="G15" s="8" t="s">
        <v>26</v>
      </c>
      <c r="H15" s="6" t="s">
        <v>43</v>
      </c>
      <c r="I15" s="6" t="s">
        <v>137</v>
      </c>
      <c r="M15" s="4">
        <v>365</v>
      </c>
      <c r="O15" s="4">
        <v>23.99</v>
      </c>
      <c r="R15" s="6"/>
      <c r="S15" s="6"/>
      <c r="T15" s="6"/>
      <c r="U15" s="6"/>
      <c r="V15" s="6">
        <v>1</v>
      </c>
      <c r="W15" s="6" t="s">
        <v>11</v>
      </c>
      <c r="X15" s="6"/>
      <c r="Y15" s="6"/>
      <c r="Z15" s="6"/>
      <c r="AA15" s="4" t="s">
        <v>550</v>
      </c>
      <c r="AB15" s="4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3" x14ac:dyDescent="0.3">
      <c r="A16" s="21">
        <v>15</v>
      </c>
      <c r="B16" s="22"/>
      <c r="C16" s="22"/>
      <c r="D16" s="22" t="s">
        <v>138</v>
      </c>
      <c r="E16" s="24" t="s">
        <v>295</v>
      </c>
      <c r="F16" s="74"/>
      <c r="G16" s="23" t="s">
        <v>26</v>
      </c>
      <c r="H16" s="22" t="s">
        <v>43</v>
      </c>
      <c r="I16" s="22" t="s">
        <v>142</v>
      </c>
      <c r="J16" s="21"/>
      <c r="K16" s="21"/>
      <c r="L16" s="21"/>
      <c r="M16" s="21">
        <v>2021</v>
      </c>
      <c r="N16" s="83" t="s">
        <v>569</v>
      </c>
      <c r="O16" s="21">
        <v>23.99</v>
      </c>
      <c r="P16" s="21" t="s">
        <v>400</v>
      </c>
      <c r="Q16" s="21"/>
      <c r="R16" s="22" t="s">
        <v>564</v>
      </c>
      <c r="S16" s="22" t="s">
        <v>566</v>
      </c>
      <c r="T16" s="22" t="s">
        <v>565</v>
      </c>
      <c r="U16" s="22"/>
      <c r="V16" s="22">
        <v>1</v>
      </c>
      <c r="W16" s="22" t="s">
        <v>11</v>
      </c>
      <c r="X16" s="22" t="s">
        <v>425</v>
      </c>
      <c r="Y16" s="22" t="s">
        <v>568</v>
      </c>
      <c r="Z16" s="22"/>
      <c r="AA16" s="21" t="s">
        <v>289</v>
      </c>
      <c r="AB16" s="21" t="s">
        <v>290</v>
      </c>
      <c r="AC16" s="22" t="s">
        <v>567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</row>
    <row r="17" spans="1:52" x14ac:dyDescent="0.3">
      <c r="A17" s="4">
        <v>16</v>
      </c>
      <c r="B17" s="6">
        <v>2179</v>
      </c>
      <c r="C17" s="6"/>
      <c r="D17" s="6" t="s">
        <v>105</v>
      </c>
      <c r="E17" s="37" t="s">
        <v>296</v>
      </c>
      <c r="F17" s="75"/>
      <c r="G17" s="8" t="s">
        <v>26</v>
      </c>
      <c r="H17" s="6" t="s">
        <v>139</v>
      </c>
      <c r="I17" s="6" t="s">
        <v>106</v>
      </c>
      <c r="M17" s="4">
        <v>2013</v>
      </c>
      <c r="N17" s="4" t="s">
        <v>354</v>
      </c>
      <c r="O17" s="4">
        <v>23.99</v>
      </c>
      <c r="P17" s="4" t="s">
        <v>395</v>
      </c>
      <c r="R17" s="6" t="s">
        <v>364</v>
      </c>
      <c r="S17" s="6"/>
      <c r="T17" s="6" t="s">
        <v>356</v>
      </c>
      <c r="U17" s="6"/>
      <c r="V17" s="6">
        <v>1</v>
      </c>
      <c r="W17" s="6" t="s">
        <v>352</v>
      </c>
      <c r="X17" s="6" t="s">
        <v>12</v>
      </c>
      <c r="Y17" s="6" t="s">
        <v>345</v>
      </c>
      <c r="Z17" s="6" t="s">
        <v>355</v>
      </c>
      <c r="AA17" s="4" t="s">
        <v>41</v>
      </c>
      <c r="AB17" s="4" t="s">
        <v>67</v>
      </c>
      <c r="AC17" s="6"/>
      <c r="AD17" s="6"/>
      <c r="AE17" s="6"/>
      <c r="AF17" s="6"/>
      <c r="AG17" s="6"/>
      <c r="AH17" s="6"/>
      <c r="AI17" s="6"/>
      <c r="AJ17" s="6"/>
      <c r="AK17" s="6"/>
      <c r="AL17" s="6" t="s">
        <v>176</v>
      </c>
      <c r="AM17" s="6" t="s">
        <v>12</v>
      </c>
      <c r="AN17" s="6" t="s">
        <v>353</v>
      </c>
      <c r="AO17" s="6" t="s">
        <v>357</v>
      </c>
      <c r="AP17" s="6" t="s">
        <v>177</v>
      </c>
      <c r="AQ17" s="6" t="s">
        <v>12</v>
      </c>
      <c r="AR17" s="6" t="s">
        <v>179</v>
      </c>
      <c r="AS17" s="6" t="s">
        <v>358</v>
      </c>
      <c r="AT17" s="6"/>
      <c r="AU17" s="6"/>
      <c r="AV17" s="6"/>
      <c r="AW17" s="6"/>
      <c r="AX17" s="6"/>
      <c r="AY17" t="s">
        <v>203</v>
      </c>
      <c r="AZ17">
        <v>906878564</v>
      </c>
    </row>
    <row r="18" spans="1:52" x14ac:dyDescent="0.3">
      <c r="A18" s="21">
        <v>17</v>
      </c>
      <c r="B18" s="22"/>
      <c r="C18" s="25"/>
      <c r="D18" s="26" t="s">
        <v>78</v>
      </c>
      <c r="E18" s="24" t="s">
        <v>297</v>
      </c>
      <c r="F18" s="74"/>
      <c r="G18" s="23" t="s">
        <v>26</v>
      </c>
      <c r="H18" s="22" t="s">
        <v>139</v>
      </c>
      <c r="I18" s="22" t="s">
        <v>79</v>
      </c>
      <c r="J18" s="21"/>
      <c r="K18" s="21"/>
      <c r="L18" s="21"/>
      <c r="M18" s="21">
        <v>365</v>
      </c>
      <c r="N18" s="21"/>
      <c r="O18" s="21">
        <v>60.03</v>
      </c>
      <c r="P18" s="21"/>
      <c r="Q18" s="21"/>
      <c r="R18" s="22"/>
      <c r="S18" s="22"/>
      <c r="T18" s="22"/>
      <c r="U18" s="22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</row>
    <row r="19" spans="1:52" ht="28.8" x14ac:dyDescent="0.3">
      <c r="A19" s="4">
        <v>18</v>
      </c>
      <c r="B19" s="6">
        <v>2177</v>
      </c>
      <c r="C19" s="7" t="s">
        <v>674</v>
      </c>
      <c r="D19" s="6" t="s">
        <v>141</v>
      </c>
      <c r="E19" s="11" t="s">
        <v>191</v>
      </c>
      <c r="F19" s="73"/>
      <c r="G19" s="8" t="s">
        <v>495</v>
      </c>
      <c r="H19" s="6" t="s">
        <v>43</v>
      </c>
      <c r="I19" s="6" t="s">
        <v>142</v>
      </c>
      <c r="M19" s="4">
        <v>2013</v>
      </c>
      <c r="N19" s="4" t="s">
        <v>206</v>
      </c>
      <c r="O19" s="4">
        <v>23.99</v>
      </c>
      <c r="P19" s="4" t="s">
        <v>395</v>
      </c>
      <c r="R19" s="6" t="s">
        <v>182</v>
      </c>
      <c r="S19" s="6"/>
      <c r="T19" s="6" t="s">
        <v>205</v>
      </c>
      <c r="U19" s="6"/>
      <c r="V19" s="6">
        <v>1</v>
      </c>
      <c r="W19" s="6" t="s">
        <v>20</v>
      </c>
      <c r="X19" s="6" t="s">
        <v>12</v>
      </c>
      <c r="Y19" s="6" t="s">
        <v>345</v>
      </c>
      <c r="Z19" s="6" t="s">
        <v>204</v>
      </c>
      <c r="AA19" s="4" t="s">
        <v>41</v>
      </c>
      <c r="AB19" s="4" t="s">
        <v>67</v>
      </c>
      <c r="AC19" s="6"/>
      <c r="AD19" s="6"/>
      <c r="AE19" s="6" t="s">
        <v>16</v>
      </c>
      <c r="AF19" s="6">
        <v>1</v>
      </c>
      <c r="AG19" s="6">
        <v>24</v>
      </c>
      <c r="AH19" s="6" t="s">
        <v>74</v>
      </c>
      <c r="AI19" s="6"/>
      <c r="AJ19" s="6" t="s">
        <v>67</v>
      </c>
      <c r="AK19" s="6"/>
      <c r="AL19" s="6" t="s">
        <v>176</v>
      </c>
      <c r="AM19" s="6" t="s">
        <v>12</v>
      </c>
      <c r="AN19" s="6" t="s">
        <v>181</v>
      </c>
      <c r="AO19" s="6" t="s">
        <v>207</v>
      </c>
      <c r="AP19" s="6" t="s">
        <v>177</v>
      </c>
      <c r="AQ19" s="6" t="s">
        <v>12</v>
      </c>
      <c r="AR19" s="6" t="s">
        <v>179</v>
      </c>
      <c r="AS19" s="6" t="s">
        <v>208</v>
      </c>
      <c r="AT19" s="6"/>
      <c r="AU19" s="6"/>
      <c r="AV19" s="6"/>
      <c r="AW19" s="6"/>
      <c r="AX19" s="6"/>
      <c r="AY19" t="s">
        <v>203</v>
      </c>
      <c r="AZ19">
        <v>1596042880</v>
      </c>
    </row>
    <row r="20" spans="1:52" x14ac:dyDescent="0.3">
      <c r="A20" s="21">
        <v>19</v>
      </c>
      <c r="B20" s="22">
        <v>2176</v>
      </c>
      <c r="C20" s="22"/>
      <c r="D20" s="22" t="s">
        <v>143</v>
      </c>
      <c r="E20" s="24" t="s">
        <v>209</v>
      </c>
      <c r="F20" s="74"/>
      <c r="G20" s="23" t="s">
        <v>26</v>
      </c>
      <c r="H20" s="22" t="s">
        <v>43</v>
      </c>
      <c r="I20" s="22" t="s">
        <v>142</v>
      </c>
      <c r="J20" s="21"/>
      <c r="K20" s="21"/>
      <c r="L20" s="21"/>
      <c r="M20" s="21">
        <v>2013</v>
      </c>
      <c r="N20" s="21" t="s">
        <v>214</v>
      </c>
      <c r="O20" s="21">
        <v>23.99</v>
      </c>
      <c r="P20" s="21" t="s">
        <v>395</v>
      </c>
      <c r="Q20" s="21"/>
      <c r="R20" s="22" t="s">
        <v>184</v>
      </c>
      <c r="S20" s="22"/>
      <c r="T20" s="22" t="s">
        <v>212</v>
      </c>
      <c r="U20" s="22"/>
      <c r="V20" s="22">
        <v>1</v>
      </c>
      <c r="W20" s="22" t="s">
        <v>20</v>
      </c>
      <c r="X20" s="22" t="s">
        <v>12</v>
      </c>
      <c r="Y20" s="22" t="s">
        <v>345</v>
      </c>
      <c r="Z20" s="22" t="s">
        <v>213</v>
      </c>
      <c r="AA20" s="21" t="s">
        <v>41</v>
      </c>
      <c r="AB20" s="21" t="s">
        <v>67</v>
      </c>
      <c r="AC20" s="22"/>
      <c r="AD20" s="22">
        <v>2191</v>
      </c>
      <c r="AE20" s="22" t="s">
        <v>16</v>
      </c>
      <c r="AF20" s="22">
        <v>1</v>
      </c>
      <c r="AG20" s="22">
        <v>24</v>
      </c>
      <c r="AH20" s="22" t="s">
        <v>74</v>
      </c>
      <c r="AI20" s="22" t="s">
        <v>362</v>
      </c>
      <c r="AJ20" s="22" t="s">
        <v>67</v>
      </c>
      <c r="AK20" s="22"/>
      <c r="AL20" s="22" t="s">
        <v>176</v>
      </c>
      <c r="AM20" s="22" t="s">
        <v>12</v>
      </c>
      <c r="AN20" s="22" t="s">
        <v>181</v>
      </c>
      <c r="AO20" s="22" t="s">
        <v>211</v>
      </c>
      <c r="AP20" s="22" t="s">
        <v>177</v>
      </c>
      <c r="AQ20" s="22" t="s">
        <v>12</v>
      </c>
      <c r="AR20" s="22" t="s">
        <v>179</v>
      </c>
      <c r="AS20" s="22" t="s">
        <v>210</v>
      </c>
      <c r="AT20" s="22"/>
      <c r="AU20" s="22"/>
      <c r="AV20" s="22"/>
      <c r="AW20" s="22"/>
      <c r="AX20" s="22"/>
      <c r="AY20" t="s">
        <v>203</v>
      </c>
      <c r="AZ20">
        <v>1285024219</v>
      </c>
    </row>
    <row r="21" spans="1:52" x14ac:dyDescent="0.3">
      <c r="A21" s="21">
        <v>21</v>
      </c>
      <c r="B21" s="22">
        <v>2181</v>
      </c>
      <c r="C21" s="22" t="s">
        <v>127</v>
      </c>
      <c r="D21" s="22" t="s">
        <v>667</v>
      </c>
      <c r="E21" s="24" t="s">
        <v>881</v>
      </c>
      <c r="F21" s="74"/>
      <c r="G21" s="23" t="s">
        <v>26</v>
      </c>
      <c r="H21" s="22" t="s">
        <v>43</v>
      </c>
      <c r="I21" s="22" t="s">
        <v>194</v>
      </c>
      <c r="J21" s="21"/>
      <c r="K21" s="21"/>
      <c r="L21" s="21"/>
      <c r="M21" s="21">
        <v>2013</v>
      </c>
      <c r="N21" s="21" t="s">
        <v>668</v>
      </c>
      <c r="O21" s="28">
        <v>0</v>
      </c>
      <c r="P21" s="28" t="s">
        <v>395</v>
      </c>
      <c r="Q21" s="28"/>
      <c r="R21" s="22" t="s">
        <v>187</v>
      </c>
      <c r="S21" s="22"/>
      <c r="T21" s="22" t="s">
        <v>367</v>
      </c>
      <c r="U21" s="22"/>
      <c r="V21" s="22">
        <v>1</v>
      </c>
      <c r="W21" s="22" t="s">
        <v>20</v>
      </c>
      <c r="X21" s="22" t="s">
        <v>12</v>
      </c>
      <c r="Y21" s="22" t="s">
        <v>345</v>
      </c>
      <c r="Z21" s="22" t="s">
        <v>368</v>
      </c>
      <c r="AA21" s="21" t="s">
        <v>41</v>
      </c>
      <c r="AB21" s="21" t="s">
        <v>67</v>
      </c>
      <c r="AC21" s="22"/>
      <c r="AD21" s="22"/>
      <c r="AE21" s="22" t="s">
        <v>16</v>
      </c>
      <c r="AF21" s="22">
        <v>1</v>
      </c>
      <c r="AG21" s="22">
        <v>22</v>
      </c>
      <c r="AH21" s="22" t="s">
        <v>374</v>
      </c>
      <c r="AI21" s="22" t="s">
        <v>375</v>
      </c>
      <c r="AJ21" s="22" t="s">
        <v>290</v>
      </c>
      <c r="AK21" s="22"/>
      <c r="AL21" s="22" t="s">
        <v>176</v>
      </c>
      <c r="AM21" s="22" t="s">
        <v>12</v>
      </c>
      <c r="AN21" s="22" t="s">
        <v>181</v>
      </c>
      <c r="AO21" s="22" t="s">
        <v>369</v>
      </c>
      <c r="AP21" s="22" t="s">
        <v>177</v>
      </c>
      <c r="AQ21" s="22" t="s">
        <v>12</v>
      </c>
      <c r="AR21" s="22" t="s">
        <v>179</v>
      </c>
      <c r="AS21" s="22" t="s">
        <v>370</v>
      </c>
      <c r="AT21" s="22"/>
      <c r="AU21" s="22"/>
      <c r="AV21" s="22"/>
      <c r="AW21" s="22"/>
      <c r="AX21" s="22"/>
      <c r="AY21" t="s">
        <v>203</v>
      </c>
      <c r="AZ21">
        <v>1369061700</v>
      </c>
    </row>
    <row r="22" spans="1:52" ht="28.8" x14ac:dyDescent="0.3">
      <c r="A22" s="4">
        <v>22</v>
      </c>
      <c r="B22" s="6">
        <v>2178</v>
      </c>
      <c r="C22" s="7" t="s">
        <v>486</v>
      </c>
      <c r="D22" s="6" t="s">
        <v>487</v>
      </c>
      <c r="E22" s="11" t="s">
        <v>488</v>
      </c>
      <c r="F22" s="73"/>
      <c r="G22" s="8" t="s">
        <v>26</v>
      </c>
      <c r="H22" s="6" t="s">
        <v>43</v>
      </c>
      <c r="I22" s="6" t="s">
        <v>28</v>
      </c>
      <c r="M22" s="4">
        <v>2013</v>
      </c>
      <c r="N22" s="4" t="s">
        <v>169</v>
      </c>
      <c r="O22" s="4">
        <v>23.99</v>
      </c>
      <c r="P22" s="4" t="s">
        <v>395</v>
      </c>
      <c r="R22" s="6" t="s">
        <v>165</v>
      </c>
      <c r="S22" s="6"/>
      <c r="T22" s="6" t="s">
        <v>166</v>
      </c>
      <c r="U22" s="6"/>
      <c r="V22" s="6">
        <v>1</v>
      </c>
      <c r="W22" s="6" t="s">
        <v>20</v>
      </c>
      <c r="X22" s="6" t="s">
        <v>12</v>
      </c>
      <c r="Y22" s="6" t="s">
        <v>345</v>
      </c>
      <c r="Z22" s="6" t="s">
        <v>167</v>
      </c>
      <c r="AA22" s="4" t="s">
        <v>41</v>
      </c>
      <c r="AB22" s="4" t="s">
        <v>67</v>
      </c>
      <c r="AC22" s="6"/>
      <c r="AD22" s="6"/>
      <c r="AE22" s="6"/>
      <c r="AF22" s="6"/>
      <c r="AG22" s="6"/>
      <c r="AH22" s="6"/>
      <c r="AI22" s="6"/>
      <c r="AJ22" s="6"/>
      <c r="AK22" s="6"/>
      <c r="AL22" s="6" t="s">
        <v>176</v>
      </c>
      <c r="AM22" s="6" t="s">
        <v>12</v>
      </c>
      <c r="AN22" s="6" t="s">
        <v>181</v>
      </c>
      <c r="AO22" s="6" t="s">
        <v>180</v>
      </c>
      <c r="AP22" s="6" t="s">
        <v>177</v>
      </c>
      <c r="AQ22" s="6" t="s">
        <v>12</v>
      </c>
      <c r="AR22" s="6" t="s">
        <v>179</v>
      </c>
      <c r="AS22" s="6" t="s">
        <v>178</v>
      </c>
      <c r="AT22" s="6"/>
      <c r="AU22" s="6"/>
      <c r="AV22" s="6"/>
      <c r="AW22" s="6"/>
      <c r="AX22" s="6"/>
      <c r="AY22" s="6" t="s">
        <v>203</v>
      </c>
      <c r="AZ22" s="6">
        <v>1448299626</v>
      </c>
    </row>
    <row r="23" spans="1:52" x14ac:dyDescent="0.3">
      <c r="A23" s="21">
        <v>23</v>
      </c>
      <c r="B23" s="22"/>
      <c r="C23" s="22" t="s">
        <v>303</v>
      </c>
      <c r="D23" s="22"/>
      <c r="E23" s="24" t="s">
        <v>304</v>
      </c>
      <c r="F23" s="74"/>
      <c r="G23" s="23" t="s">
        <v>26</v>
      </c>
      <c r="H23" s="22" t="s">
        <v>43</v>
      </c>
      <c r="I23" s="22" t="s">
        <v>202</v>
      </c>
      <c r="J23" s="21"/>
      <c r="K23" s="21"/>
      <c r="L23" s="21"/>
      <c r="M23" s="21">
        <v>365</v>
      </c>
      <c r="N23" s="21"/>
      <c r="O23" s="21">
        <v>60.03</v>
      </c>
      <c r="P23" s="21" t="s">
        <v>395</v>
      </c>
      <c r="Q23" s="21"/>
      <c r="R23" s="22" t="s">
        <v>306</v>
      </c>
      <c r="S23" s="22" t="s">
        <v>311</v>
      </c>
      <c r="T23" s="22" t="s">
        <v>310</v>
      </c>
      <c r="U23" s="22"/>
      <c r="V23" s="22">
        <v>1</v>
      </c>
      <c r="W23" s="22" t="s">
        <v>11</v>
      </c>
      <c r="X23" s="22" t="s">
        <v>12</v>
      </c>
      <c r="Y23" s="22" t="s">
        <v>307</v>
      </c>
      <c r="Z23" s="22" t="s">
        <v>305</v>
      </c>
      <c r="AA23" s="21" t="s">
        <v>289</v>
      </c>
      <c r="AB23" s="21" t="s">
        <v>290</v>
      </c>
      <c r="AC23" s="22" t="s">
        <v>602</v>
      </c>
      <c r="AD23" s="22"/>
      <c r="AE23" s="22"/>
      <c r="AF23" s="22"/>
      <c r="AG23" s="22"/>
      <c r="AH23" s="22"/>
      <c r="AI23" s="22"/>
      <c r="AJ23" s="22"/>
      <c r="AK23" s="22"/>
      <c r="AL23" s="22" t="s">
        <v>13</v>
      </c>
      <c r="AM23" s="22" t="s">
        <v>14</v>
      </c>
      <c r="AN23" s="22" t="s">
        <v>15</v>
      </c>
      <c r="AO23" s="22" t="s">
        <v>308</v>
      </c>
      <c r="AP23" s="22" t="s">
        <v>146</v>
      </c>
      <c r="AQ23" s="22" t="s">
        <v>14</v>
      </c>
      <c r="AR23" s="22" t="s">
        <v>171</v>
      </c>
      <c r="AS23" s="22" t="s">
        <v>309</v>
      </c>
      <c r="AT23" s="22"/>
      <c r="AU23" s="22"/>
      <c r="AV23" s="22"/>
      <c r="AW23" s="22"/>
      <c r="AX23" s="22"/>
      <c r="AY23" t="s">
        <v>203</v>
      </c>
      <c r="AZ23">
        <v>533416861</v>
      </c>
    </row>
    <row r="24" spans="1:52" x14ac:dyDescent="0.3">
      <c r="A24" s="4">
        <v>24</v>
      </c>
      <c r="B24" s="6"/>
      <c r="C24" s="6"/>
      <c r="D24" s="6" t="s">
        <v>185</v>
      </c>
      <c r="E24" s="37" t="s">
        <v>298</v>
      </c>
      <c r="F24" s="75"/>
      <c r="G24" s="8" t="s">
        <v>26</v>
      </c>
      <c r="H24" s="6" t="s">
        <v>43</v>
      </c>
      <c r="I24" s="6" t="s">
        <v>186</v>
      </c>
      <c r="M24" s="4">
        <v>365</v>
      </c>
      <c r="O24" s="4">
        <v>60.03</v>
      </c>
      <c r="R24" s="6"/>
      <c r="S24" s="6"/>
      <c r="T24" s="6"/>
      <c r="U24" s="6"/>
      <c r="V24" s="6">
        <v>1</v>
      </c>
      <c r="W24" s="6" t="s">
        <v>20</v>
      </c>
      <c r="X24" s="6"/>
      <c r="Y24" s="6"/>
      <c r="Z24" s="6"/>
      <c r="AA24" s="4"/>
      <c r="AB24" s="4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2" x14ac:dyDescent="0.3">
      <c r="A25" s="21">
        <v>25</v>
      </c>
      <c r="B25" s="22"/>
      <c r="C25" s="22"/>
      <c r="D25" s="22" t="s">
        <v>192</v>
      </c>
      <c r="E25" s="116" t="s">
        <v>882</v>
      </c>
      <c r="F25" s="74"/>
      <c r="G25" s="23" t="s">
        <v>26</v>
      </c>
      <c r="H25" s="22" t="s">
        <v>139</v>
      </c>
      <c r="I25" s="22" t="s">
        <v>106</v>
      </c>
      <c r="J25" s="21"/>
      <c r="K25" s="21"/>
      <c r="L25" s="21"/>
      <c r="M25" s="21" t="s">
        <v>195</v>
      </c>
      <c r="N25" s="21" t="s">
        <v>195</v>
      </c>
      <c r="O25" s="27">
        <v>0</v>
      </c>
      <c r="P25" s="27" t="s">
        <v>395</v>
      </c>
      <c r="Q25" s="27" t="s">
        <v>393</v>
      </c>
      <c r="R25" s="22" t="s">
        <v>394</v>
      </c>
      <c r="S25" s="22"/>
      <c r="T25" s="22" t="s">
        <v>396</v>
      </c>
      <c r="U25" s="22"/>
      <c r="V25" s="22">
        <v>1</v>
      </c>
      <c r="W25" s="22" t="s">
        <v>20</v>
      </c>
      <c r="X25" s="22" t="s">
        <v>388</v>
      </c>
      <c r="Y25" s="22" t="s">
        <v>389</v>
      </c>
      <c r="Z25" s="22" t="s">
        <v>390</v>
      </c>
      <c r="AA25" s="21" t="s">
        <v>289</v>
      </c>
      <c r="AB25" s="21" t="s">
        <v>290</v>
      </c>
      <c r="AC25" s="22" t="s">
        <v>397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t="s">
        <v>203</v>
      </c>
      <c r="AZ25">
        <v>1721042059</v>
      </c>
    </row>
    <row r="26" spans="1:52" x14ac:dyDescent="0.3">
      <c r="A26" s="4">
        <v>26</v>
      </c>
      <c r="B26" s="6">
        <v>2179</v>
      </c>
      <c r="C26" s="6"/>
      <c r="D26" s="6" t="s">
        <v>192</v>
      </c>
      <c r="E26" s="117" t="s">
        <v>882</v>
      </c>
      <c r="F26" s="75"/>
      <c r="G26" s="8" t="s">
        <v>26</v>
      </c>
      <c r="H26" s="6" t="s">
        <v>139</v>
      </c>
      <c r="I26" s="6" t="s">
        <v>194</v>
      </c>
      <c r="M26" s="4" t="s">
        <v>195</v>
      </c>
      <c r="N26" s="4" t="s">
        <v>195</v>
      </c>
      <c r="O26" s="13">
        <v>0</v>
      </c>
      <c r="P26" s="13" t="s">
        <v>400</v>
      </c>
      <c r="Q26" s="13"/>
      <c r="R26" s="6" t="s">
        <v>415</v>
      </c>
      <c r="S26" s="6"/>
      <c r="T26" s="6" t="s">
        <v>422</v>
      </c>
      <c r="U26" s="6"/>
      <c r="V26" s="6">
        <v>1</v>
      </c>
      <c r="W26" s="6" t="s">
        <v>20</v>
      </c>
      <c r="X26" s="6" t="s">
        <v>414</v>
      </c>
      <c r="Y26" s="6" t="s">
        <v>417</v>
      </c>
      <c r="Z26" s="6" t="s">
        <v>416</v>
      </c>
      <c r="AA26" s="4" t="s">
        <v>289</v>
      </c>
      <c r="AB26" s="4" t="s">
        <v>290</v>
      </c>
      <c r="AC26" s="6" t="s">
        <v>397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t="s">
        <v>203</v>
      </c>
      <c r="AZ26">
        <v>1664691235</v>
      </c>
    </row>
    <row r="27" spans="1:52" x14ac:dyDescent="0.3">
      <c r="A27" s="21">
        <v>27</v>
      </c>
      <c r="B27" s="22">
        <v>2200</v>
      </c>
      <c r="C27" s="22"/>
      <c r="D27" s="22" t="s">
        <v>192</v>
      </c>
      <c r="E27" s="116" t="s">
        <v>882</v>
      </c>
      <c r="F27" s="74"/>
      <c r="G27" s="23" t="s">
        <v>26</v>
      </c>
      <c r="H27" s="22" t="s">
        <v>139</v>
      </c>
      <c r="I27" s="22" t="s">
        <v>106</v>
      </c>
      <c r="J27" s="21"/>
      <c r="K27" s="21" t="s">
        <v>195</v>
      </c>
      <c r="L27" s="21" t="s">
        <v>195</v>
      </c>
      <c r="M27" s="21" t="s">
        <v>195</v>
      </c>
      <c r="N27" s="21" t="s">
        <v>195</v>
      </c>
      <c r="O27" s="27">
        <v>0</v>
      </c>
      <c r="P27" s="27" t="s">
        <v>400</v>
      </c>
      <c r="Q27" s="27"/>
      <c r="R27" s="22" t="s">
        <v>475</v>
      </c>
      <c r="S27" s="22"/>
      <c r="T27" s="25" t="s">
        <v>420</v>
      </c>
      <c r="U27" s="25"/>
      <c r="V27" s="22">
        <v>1</v>
      </c>
      <c r="W27" s="22" t="s">
        <v>20</v>
      </c>
      <c r="X27" s="22" t="s">
        <v>286</v>
      </c>
      <c r="Y27" s="22" t="s">
        <v>287</v>
      </c>
      <c r="Z27" s="22" t="s">
        <v>419</v>
      </c>
      <c r="AA27" s="21" t="s">
        <v>289</v>
      </c>
      <c r="AB27" s="21" t="s">
        <v>290</v>
      </c>
      <c r="AC27" s="22" t="s">
        <v>471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t="s">
        <v>203</v>
      </c>
      <c r="AZ27">
        <v>1098659229</v>
      </c>
    </row>
    <row r="28" spans="1:52" x14ac:dyDescent="0.3">
      <c r="A28" s="4">
        <v>28</v>
      </c>
      <c r="B28" s="6">
        <v>2226</v>
      </c>
      <c r="C28" s="6"/>
      <c r="D28" s="6" t="s">
        <v>192</v>
      </c>
      <c r="E28" s="117" t="s">
        <v>882</v>
      </c>
      <c r="F28" s="75"/>
      <c r="G28" s="8" t="s">
        <v>26</v>
      </c>
      <c r="H28" s="6" t="s">
        <v>139</v>
      </c>
      <c r="I28" s="6" t="s">
        <v>194</v>
      </c>
      <c r="M28" s="4" t="s">
        <v>195</v>
      </c>
      <c r="N28" s="4" t="s">
        <v>195</v>
      </c>
      <c r="O28" s="13">
        <v>0</v>
      </c>
      <c r="P28" s="13" t="s">
        <v>400</v>
      </c>
      <c r="Q28" s="13"/>
      <c r="R28" s="6" t="s">
        <v>418</v>
      </c>
      <c r="S28" s="6"/>
      <c r="T28" s="6" t="s">
        <v>445</v>
      </c>
      <c r="U28" s="6"/>
      <c r="V28" s="6">
        <v>1</v>
      </c>
      <c r="W28" s="6" t="s">
        <v>20</v>
      </c>
      <c r="X28" s="6" t="s">
        <v>286</v>
      </c>
      <c r="Y28" s="6" t="s">
        <v>287</v>
      </c>
      <c r="Z28" s="6" t="s">
        <v>446</v>
      </c>
      <c r="AA28" s="4" t="s">
        <v>289</v>
      </c>
      <c r="AB28" s="4" t="s">
        <v>290</v>
      </c>
      <c r="AC28" s="6" t="s">
        <v>421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t="s">
        <v>203</v>
      </c>
      <c r="AZ28">
        <v>1520700452</v>
      </c>
    </row>
    <row r="29" spans="1:52" x14ac:dyDescent="0.3">
      <c r="A29" s="21">
        <v>29</v>
      </c>
      <c r="B29" s="22"/>
      <c r="C29" s="22"/>
      <c r="D29" s="22" t="s">
        <v>192</v>
      </c>
      <c r="E29" s="116" t="s">
        <v>882</v>
      </c>
      <c r="F29" s="74"/>
      <c r="G29" s="23" t="s">
        <v>26</v>
      </c>
      <c r="H29" s="22" t="s">
        <v>139</v>
      </c>
      <c r="I29" s="22" t="s">
        <v>106</v>
      </c>
      <c r="J29" s="21"/>
      <c r="K29" s="21"/>
      <c r="L29" s="21"/>
      <c r="M29" s="21" t="s">
        <v>195</v>
      </c>
      <c r="N29" s="21" t="s">
        <v>195</v>
      </c>
      <c r="O29" s="27">
        <v>0</v>
      </c>
      <c r="P29" s="27" t="s">
        <v>400</v>
      </c>
      <c r="Q29" s="27"/>
      <c r="R29" s="22" t="s">
        <v>470</v>
      </c>
      <c r="S29" s="22"/>
      <c r="T29" s="22" t="s">
        <v>469</v>
      </c>
      <c r="U29" s="22"/>
      <c r="V29" s="22">
        <v>1</v>
      </c>
      <c r="W29" s="22" t="s">
        <v>20</v>
      </c>
      <c r="X29" s="22" t="s">
        <v>286</v>
      </c>
      <c r="Y29" s="22" t="s">
        <v>287</v>
      </c>
      <c r="Z29" s="22" t="s">
        <v>288</v>
      </c>
      <c r="AA29" s="21" t="s">
        <v>289</v>
      </c>
      <c r="AB29" s="21" t="s">
        <v>290</v>
      </c>
      <c r="AC29" s="22" t="s">
        <v>471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t="s">
        <v>203</v>
      </c>
      <c r="AZ29">
        <v>971361765</v>
      </c>
    </row>
    <row r="30" spans="1:52" x14ac:dyDescent="0.3">
      <c r="A30" s="4">
        <v>30</v>
      </c>
      <c r="B30" s="6"/>
      <c r="C30" s="6"/>
      <c r="D30" s="6" t="s">
        <v>192</v>
      </c>
      <c r="E30" s="117" t="s">
        <v>882</v>
      </c>
      <c r="F30" s="75"/>
      <c r="G30" s="8" t="s">
        <v>26</v>
      </c>
      <c r="H30" s="6" t="s">
        <v>139</v>
      </c>
      <c r="I30" s="6" t="s">
        <v>79</v>
      </c>
      <c r="M30" s="4" t="s">
        <v>195</v>
      </c>
      <c r="N30" s="4" t="s">
        <v>195</v>
      </c>
      <c r="O30" s="13">
        <v>0</v>
      </c>
      <c r="P30" s="13"/>
      <c r="Q30" s="13"/>
      <c r="R30" s="6"/>
      <c r="S30" s="6"/>
      <c r="T30" s="6"/>
      <c r="U30" s="6"/>
      <c r="V30" s="6"/>
      <c r="W30" s="6"/>
      <c r="X30" s="6"/>
      <c r="Y30" s="6"/>
      <c r="Z30" s="6"/>
      <c r="AA30" s="4"/>
      <c r="AB30" s="4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2" x14ac:dyDescent="0.3">
      <c r="A31" s="21">
        <v>31</v>
      </c>
      <c r="B31" s="22">
        <v>2251</v>
      </c>
      <c r="C31" s="22"/>
      <c r="D31" s="22" t="s">
        <v>398</v>
      </c>
      <c r="E31" s="18" t="s">
        <v>882</v>
      </c>
      <c r="F31" s="30"/>
      <c r="G31" s="23" t="s">
        <v>26</v>
      </c>
      <c r="H31" s="22" t="s">
        <v>139</v>
      </c>
      <c r="I31" s="22" t="s">
        <v>193</v>
      </c>
      <c r="J31" s="21"/>
      <c r="K31" s="21"/>
      <c r="L31" s="21"/>
      <c r="M31" s="21">
        <v>2013</v>
      </c>
      <c r="N31" s="21" t="s">
        <v>399</v>
      </c>
      <c r="O31" s="21">
        <v>23.99</v>
      </c>
      <c r="P31" s="21" t="s">
        <v>400</v>
      </c>
      <c r="Q31" s="21"/>
      <c r="R31" s="22" t="s">
        <v>401</v>
      </c>
      <c r="S31" s="22"/>
      <c r="T31" s="22" t="s">
        <v>404</v>
      </c>
      <c r="U31" s="22"/>
      <c r="V31" s="22">
        <v>1</v>
      </c>
      <c r="W31" s="22" t="s">
        <v>20</v>
      </c>
      <c r="X31" s="22" t="s">
        <v>286</v>
      </c>
      <c r="Y31" s="22" t="s">
        <v>402</v>
      </c>
      <c r="Z31" s="22" t="s">
        <v>403</v>
      </c>
      <c r="AA31" s="21" t="s">
        <v>289</v>
      </c>
      <c r="AB31" s="21" t="s">
        <v>290</v>
      </c>
      <c r="AC31" s="22" t="s">
        <v>405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t="s">
        <v>203</v>
      </c>
      <c r="AZ31">
        <v>1468236674</v>
      </c>
    </row>
    <row r="32" spans="1:52" x14ac:dyDescent="0.3">
      <c r="A32" s="4">
        <v>32</v>
      </c>
      <c r="B32" s="6"/>
      <c r="C32" s="6"/>
      <c r="D32" s="6" t="s">
        <v>398</v>
      </c>
      <c r="E32" s="6" t="s">
        <v>882</v>
      </c>
      <c r="F32" s="76"/>
      <c r="G32" s="8" t="s">
        <v>26</v>
      </c>
      <c r="H32" s="6" t="s">
        <v>139</v>
      </c>
      <c r="I32" s="6" t="s">
        <v>193</v>
      </c>
      <c r="M32" s="4">
        <v>2013</v>
      </c>
      <c r="O32" s="4">
        <v>23.99</v>
      </c>
      <c r="R32" s="6"/>
      <c r="S32" s="6"/>
      <c r="T32" s="6"/>
      <c r="U32" s="6"/>
      <c r="V32" s="6"/>
      <c r="W32" s="6"/>
      <c r="X32" s="6"/>
      <c r="Y32" s="6"/>
      <c r="Z32" s="6"/>
      <c r="AA32" s="4"/>
      <c r="AB32" s="4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2" s="6" customFormat="1" x14ac:dyDescent="0.3">
      <c r="A33" s="21">
        <v>33</v>
      </c>
      <c r="B33" s="22"/>
      <c r="C33" s="25" t="s">
        <v>378</v>
      </c>
      <c r="D33" s="22"/>
      <c r="E33" s="22"/>
      <c r="F33" s="77"/>
      <c r="G33" s="23" t="s">
        <v>26</v>
      </c>
      <c r="H33" s="22" t="s">
        <v>139</v>
      </c>
      <c r="I33" s="22" t="s">
        <v>79</v>
      </c>
      <c r="J33" s="21"/>
      <c r="K33" s="21"/>
      <c r="L33" s="21"/>
      <c r="M33" s="21">
        <v>2013</v>
      </c>
      <c r="N33" s="21" t="s">
        <v>377</v>
      </c>
      <c r="O33" s="21">
        <v>23.99</v>
      </c>
      <c r="P33" s="21" t="s">
        <v>395</v>
      </c>
      <c r="Q33" s="21"/>
      <c r="R33" s="22" t="s">
        <v>372</v>
      </c>
      <c r="S33" s="22"/>
      <c r="T33" s="22" t="s">
        <v>379</v>
      </c>
      <c r="U33" s="22"/>
      <c r="V33" s="22">
        <v>1</v>
      </c>
      <c r="W33" s="22" t="s">
        <v>20</v>
      </c>
      <c r="X33" s="22" t="s">
        <v>286</v>
      </c>
      <c r="Y33" s="22" t="s">
        <v>373</v>
      </c>
      <c r="Z33" s="22" t="s">
        <v>376</v>
      </c>
      <c r="AA33" s="21" t="s">
        <v>289</v>
      </c>
      <c r="AB33" s="21" t="s">
        <v>290</v>
      </c>
      <c r="AC33" s="22"/>
      <c r="AD33" s="22"/>
      <c r="AE33" s="22"/>
      <c r="AF33" s="22"/>
      <c r="AG33" s="22"/>
      <c r="AH33" s="22"/>
      <c r="AI33" s="22"/>
      <c r="AJ33" s="22"/>
      <c r="AK33" s="22"/>
      <c r="AL33" s="22" t="s">
        <v>176</v>
      </c>
      <c r="AM33" s="22" t="s">
        <v>14</v>
      </c>
      <c r="AN33" s="22" t="s">
        <v>381</v>
      </c>
      <c r="AO33" s="22" t="s">
        <v>383</v>
      </c>
      <c r="AP33" s="22" t="s">
        <v>177</v>
      </c>
      <c r="AQ33" s="22" t="s">
        <v>14</v>
      </c>
      <c r="AR33" s="22" t="s">
        <v>380</v>
      </c>
      <c r="AS33" s="22" t="s">
        <v>382</v>
      </c>
      <c r="AT33" s="22"/>
      <c r="AU33" s="22"/>
      <c r="AV33" s="22"/>
      <c r="AW33" s="22"/>
      <c r="AX33" s="22"/>
      <c r="AY33" s="6" t="s">
        <v>203</v>
      </c>
      <c r="AZ33" s="6">
        <v>1688151686</v>
      </c>
    </row>
    <row r="34" spans="1:52" ht="28.8" x14ac:dyDescent="0.3">
      <c r="A34" s="4">
        <v>34</v>
      </c>
      <c r="B34" s="6"/>
      <c r="C34" s="6" t="s">
        <v>409</v>
      </c>
      <c r="D34" s="6" t="s">
        <v>76</v>
      </c>
      <c r="E34" s="11" t="s">
        <v>77</v>
      </c>
      <c r="F34" s="73"/>
      <c r="G34" s="8" t="s">
        <v>26</v>
      </c>
      <c r="H34" s="6" t="s">
        <v>139</v>
      </c>
      <c r="I34" s="6" t="s">
        <v>79</v>
      </c>
      <c r="M34" s="4">
        <v>2013</v>
      </c>
      <c r="N34" s="4" t="s">
        <v>410</v>
      </c>
      <c r="O34" s="4">
        <v>23.99</v>
      </c>
      <c r="P34" s="4" t="s">
        <v>400</v>
      </c>
      <c r="R34" s="6" t="s">
        <v>406</v>
      </c>
      <c r="S34" s="6"/>
      <c r="T34" s="7" t="s">
        <v>413</v>
      </c>
      <c r="U34" s="7"/>
      <c r="V34" s="6">
        <v>1</v>
      </c>
      <c r="W34" s="7" t="s">
        <v>20</v>
      </c>
      <c r="X34" s="7" t="s">
        <v>286</v>
      </c>
      <c r="Y34" s="6" t="s">
        <v>407</v>
      </c>
      <c r="Z34" s="6" t="s">
        <v>408</v>
      </c>
      <c r="AA34" s="4" t="s">
        <v>289</v>
      </c>
      <c r="AB34" s="4" t="s">
        <v>290</v>
      </c>
      <c r="AC34" s="6" t="s">
        <v>412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 t="s">
        <v>203</v>
      </c>
      <c r="AZ34" s="6">
        <v>1879392708</v>
      </c>
    </row>
    <row r="35" spans="1:52" x14ac:dyDescent="0.3">
      <c r="A35" s="21">
        <v>35</v>
      </c>
      <c r="B35" s="6"/>
      <c r="C35" s="6"/>
      <c r="D35" s="6"/>
      <c r="E35" s="6"/>
      <c r="F35" s="76"/>
      <c r="G35" s="8" t="s">
        <v>26</v>
      </c>
      <c r="H35" s="6" t="s">
        <v>139</v>
      </c>
      <c r="I35" s="6" t="s">
        <v>142</v>
      </c>
      <c r="M35" s="4">
        <v>2013</v>
      </c>
      <c r="O35" s="4">
        <v>23.99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2" x14ac:dyDescent="0.3">
      <c r="A36" s="4">
        <v>36</v>
      </c>
      <c r="B36" s="22">
        <v>2182</v>
      </c>
      <c r="C36" s="22"/>
      <c r="D36" s="22" t="s">
        <v>196</v>
      </c>
      <c r="E36" s="24" t="s">
        <v>299</v>
      </c>
      <c r="F36" s="74"/>
      <c r="G36" s="23" t="s">
        <v>26</v>
      </c>
      <c r="H36" s="22" t="s">
        <v>139</v>
      </c>
      <c r="I36" s="22" t="s">
        <v>200</v>
      </c>
      <c r="J36" s="21"/>
      <c r="K36" s="21"/>
      <c r="L36" s="21"/>
      <c r="M36" s="21">
        <v>2013</v>
      </c>
      <c r="N36" s="21" t="s">
        <v>349</v>
      </c>
      <c r="O36" s="21">
        <v>23.99</v>
      </c>
      <c r="P36" s="21" t="s">
        <v>395</v>
      </c>
      <c r="Q36" s="21"/>
      <c r="R36" s="22" t="s">
        <v>344</v>
      </c>
      <c r="S36" s="22"/>
      <c r="T36" s="22" t="s">
        <v>347</v>
      </c>
      <c r="U36" s="22"/>
      <c r="V36" s="22">
        <v>1</v>
      </c>
      <c r="W36" s="25" t="s">
        <v>20</v>
      </c>
      <c r="X36" s="25" t="s">
        <v>12</v>
      </c>
      <c r="Y36" s="22" t="s">
        <v>345</v>
      </c>
      <c r="Z36" s="22" t="s">
        <v>346</v>
      </c>
      <c r="AA36" s="21" t="s">
        <v>41</v>
      </c>
      <c r="AB36" s="21" t="s">
        <v>67</v>
      </c>
      <c r="AC36" s="22"/>
      <c r="AD36" s="22"/>
      <c r="AE36" s="22"/>
      <c r="AF36" s="22"/>
      <c r="AG36" s="22"/>
      <c r="AH36" s="22"/>
      <c r="AI36" s="22"/>
      <c r="AJ36" s="22"/>
      <c r="AK36" s="22"/>
      <c r="AL36" s="22" t="s">
        <v>176</v>
      </c>
      <c r="AM36" s="22" t="s">
        <v>12</v>
      </c>
      <c r="AN36" s="22" t="s">
        <v>348</v>
      </c>
      <c r="AO36" s="22" t="s">
        <v>351</v>
      </c>
      <c r="AP36" s="22" t="s">
        <v>177</v>
      </c>
      <c r="AQ36" s="22" t="s">
        <v>12</v>
      </c>
      <c r="AR36" s="22" t="s">
        <v>179</v>
      </c>
      <c r="AS36" s="22" t="s">
        <v>350</v>
      </c>
      <c r="AT36" s="22"/>
      <c r="AU36" s="22"/>
      <c r="AV36" s="22"/>
      <c r="AW36" s="22"/>
      <c r="AX36" s="22"/>
      <c r="AY36" t="s">
        <v>203</v>
      </c>
      <c r="AZ36">
        <v>1123466344</v>
      </c>
    </row>
    <row r="37" spans="1:52" x14ac:dyDescent="0.3">
      <c r="A37" s="21">
        <v>37</v>
      </c>
      <c r="B37" s="6"/>
      <c r="C37" s="6"/>
      <c r="D37" s="6" t="s">
        <v>551</v>
      </c>
      <c r="E37" s="8" t="s">
        <v>552</v>
      </c>
      <c r="F37" s="79"/>
      <c r="G37" s="8"/>
      <c r="H37" s="6" t="s">
        <v>43</v>
      </c>
      <c r="I37" s="6" t="s">
        <v>36</v>
      </c>
      <c r="M37" s="4">
        <v>2021</v>
      </c>
      <c r="N37" t="s">
        <v>553</v>
      </c>
      <c r="O37" s="4">
        <v>23.99</v>
      </c>
      <c r="P37" s="4" t="s">
        <v>395</v>
      </c>
      <c r="R37" s="6" t="s">
        <v>554</v>
      </c>
      <c r="S37" s="6"/>
      <c r="T37" s="6" t="s">
        <v>570</v>
      </c>
      <c r="U37" s="6"/>
      <c r="V37" s="6">
        <v>1</v>
      </c>
      <c r="W37" s="7" t="s">
        <v>20</v>
      </c>
      <c r="X37" s="7" t="s">
        <v>555</v>
      </c>
      <c r="Y37" s="6" t="s">
        <v>556</v>
      </c>
      <c r="Z37" s="6"/>
      <c r="AA37" s="4" t="s">
        <v>289</v>
      </c>
      <c r="AB37" s="4" t="s">
        <v>290</v>
      </c>
      <c r="AC37" s="6" t="s">
        <v>557</v>
      </c>
      <c r="AD37" s="6"/>
      <c r="AE37" s="6"/>
      <c r="AF37" s="6">
        <v>2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t="s">
        <v>203</v>
      </c>
      <c r="AZ37">
        <v>1828089164</v>
      </c>
    </row>
    <row r="38" spans="1:52" x14ac:dyDescent="0.3">
      <c r="A38" s="4">
        <v>38</v>
      </c>
      <c r="B38" s="22"/>
      <c r="C38" s="22"/>
      <c r="D38" s="22" t="s">
        <v>573</v>
      </c>
      <c r="E38" s="23" t="s">
        <v>571</v>
      </c>
      <c r="F38" s="78"/>
      <c r="G38" s="23"/>
      <c r="H38" s="22" t="s">
        <v>43</v>
      </c>
      <c r="I38" s="22" t="s">
        <v>36</v>
      </c>
      <c r="J38" s="21"/>
      <c r="K38" s="21" t="s">
        <v>571</v>
      </c>
      <c r="L38" s="21"/>
      <c r="M38" s="21">
        <v>2019</v>
      </c>
      <c r="N38" s="83" t="s">
        <v>575</v>
      </c>
      <c r="O38" s="21">
        <v>23.99</v>
      </c>
      <c r="P38" s="21" t="s">
        <v>395</v>
      </c>
      <c r="Q38" s="21" t="s">
        <v>574</v>
      </c>
      <c r="R38" s="22" t="s">
        <v>572</v>
      </c>
      <c r="S38" s="22"/>
      <c r="T38" s="22" t="s">
        <v>593</v>
      </c>
      <c r="U38" s="22" t="s">
        <v>594</v>
      </c>
      <c r="V38" s="22">
        <v>1</v>
      </c>
      <c r="W38" s="22" t="s">
        <v>20</v>
      </c>
      <c r="X38" s="22" t="s">
        <v>555</v>
      </c>
      <c r="Y38" s="22" t="s">
        <v>556</v>
      </c>
      <c r="Z38" s="22"/>
      <c r="AA38" s="21" t="s">
        <v>289</v>
      </c>
      <c r="AB38" s="21" t="s">
        <v>290</v>
      </c>
      <c r="AC38" s="22" t="s">
        <v>576</v>
      </c>
      <c r="AD38" s="22"/>
      <c r="AE38" s="22"/>
      <c r="AF38" s="22">
        <v>2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t="s">
        <v>203</v>
      </c>
      <c r="AZ38">
        <v>1730124468</v>
      </c>
    </row>
    <row r="39" spans="1:52" x14ac:dyDescent="0.3">
      <c r="A39" s="21">
        <v>39</v>
      </c>
      <c r="B39" s="6"/>
      <c r="C39" s="6"/>
      <c r="D39" s="6" t="s">
        <v>595</v>
      </c>
      <c r="E39" s="8" t="s">
        <v>596</v>
      </c>
      <c r="F39" s="79"/>
      <c r="G39" s="8"/>
      <c r="H39" s="6" t="s">
        <v>43</v>
      </c>
      <c r="I39" s="6" t="s">
        <v>36</v>
      </c>
      <c r="K39" s="4" t="s">
        <v>596</v>
      </c>
      <c r="M39" s="4">
        <v>2013</v>
      </c>
      <c r="N39" s="4" t="s">
        <v>601</v>
      </c>
      <c r="O39" s="4">
        <v>23.99</v>
      </c>
      <c r="P39" s="4" t="s">
        <v>395</v>
      </c>
      <c r="Q39" s="4" t="s">
        <v>614</v>
      </c>
      <c r="R39" s="6" t="s">
        <v>600</v>
      </c>
      <c r="S39" s="6"/>
      <c r="T39" s="6" t="s">
        <v>608</v>
      </c>
      <c r="U39" s="6"/>
      <c r="V39" s="6">
        <v>1</v>
      </c>
      <c r="W39" s="6" t="s">
        <v>20</v>
      </c>
      <c r="X39" s="6" t="s">
        <v>555</v>
      </c>
      <c r="Y39" s="6" t="s">
        <v>556</v>
      </c>
      <c r="Z39" s="6"/>
      <c r="AA39" s="4" t="s">
        <v>289</v>
      </c>
      <c r="AB39" s="4" t="s">
        <v>290</v>
      </c>
      <c r="AC39" s="6" t="s">
        <v>597</v>
      </c>
      <c r="AD39" s="6"/>
      <c r="AE39" s="6"/>
      <c r="AF39" s="6">
        <v>2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t="s">
        <v>203</v>
      </c>
      <c r="AZ39">
        <v>1144058919</v>
      </c>
    </row>
    <row r="40" spans="1:52" x14ac:dyDescent="0.3">
      <c r="A40" s="4">
        <v>40</v>
      </c>
      <c r="B40" s="22"/>
      <c r="C40" s="22"/>
      <c r="D40" s="22" t="s">
        <v>624</v>
      </c>
      <c r="E40" s="23" t="s">
        <v>625</v>
      </c>
      <c r="F40" s="78"/>
      <c r="G40" s="23"/>
      <c r="H40" s="22" t="s">
        <v>43</v>
      </c>
      <c r="I40" s="22" t="s">
        <v>36</v>
      </c>
      <c r="J40" s="21"/>
      <c r="K40" s="21" t="s">
        <v>625</v>
      </c>
      <c r="L40" s="21"/>
      <c r="M40" s="21">
        <v>2013</v>
      </c>
      <c r="N40" s="21" t="s">
        <v>638</v>
      </c>
      <c r="O40" s="21">
        <v>23.99</v>
      </c>
      <c r="P40" s="21" t="s">
        <v>395</v>
      </c>
      <c r="Q40" s="21" t="s">
        <v>477</v>
      </c>
      <c r="R40" s="22" t="s">
        <v>626</v>
      </c>
      <c r="S40" s="22"/>
      <c r="T40" s="22" t="s">
        <v>628</v>
      </c>
      <c r="U40" s="22"/>
      <c r="V40" s="22">
        <v>1</v>
      </c>
      <c r="W40" s="22" t="s">
        <v>20</v>
      </c>
      <c r="X40" s="22" t="s">
        <v>555</v>
      </c>
      <c r="Y40" s="22" t="s">
        <v>556</v>
      </c>
      <c r="Z40" s="22"/>
      <c r="AA40" s="21" t="s">
        <v>289</v>
      </c>
      <c r="AB40" s="21" t="s">
        <v>290</v>
      </c>
      <c r="AC40" s="22" t="s">
        <v>627</v>
      </c>
      <c r="AD40" s="22"/>
      <c r="AE40" s="22"/>
      <c r="AF40" s="22">
        <v>2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t="s">
        <v>203</v>
      </c>
      <c r="AZ40">
        <v>1184950542</v>
      </c>
    </row>
    <row r="41" spans="1:52" x14ac:dyDescent="0.3">
      <c r="A41" s="21">
        <v>41</v>
      </c>
      <c r="B41" s="6"/>
      <c r="C41" s="6"/>
      <c r="D41" s="6" t="s">
        <v>641</v>
      </c>
      <c r="F41" s="12"/>
      <c r="G41" s="8"/>
      <c r="H41" s="6" t="s">
        <v>43</v>
      </c>
      <c r="I41" s="6" t="s">
        <v>36</v>
      </c>
      <c r="K41" s="4" t="s">
        <v>642</v>
      </c>
      <c r="M41" s="4">
        <v>2013</v>
      </c>
      <c r="N41" s="4" t="s">
        <v>651</v>
      </c>
      <c r="O41" s="4">
        <v>23.99</v>
      </c>
      <c r="P41" s="4" t="s">
        <v>395</v>
      </c>
      <c r="R41" s="6" t="s">
        <v>640</v>
      </c>
      <c r="S41" s="6"/>
      <c r="T41" s="6" t="s">
        <v>643</v>
      </c>
      <c r="U41" s="6" t="s">
        <v>644</v>
      </c>
      <c r="V41" s="6">
        <v>1</v>
      </c>
      <c r="W41" s="6" t="s">
        <v>20</v>
      </c>
      <c r="X41" s="6" t="s">
        <v>555</v>
      </c>
      <c r="Y41" s="6" t="s">
        <v>556</v>
      </c>
      <c r="Z41" s="6"/>
      <c r="AA41" s="4" t="s">
        <v>289</v>
      </c>
      <c r="AB41" s="4" t="s">
        <v>290</v>
      </c>
      <c r="AC41" s="6" t="s">
        <v>650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t="s">
        <v>203</v>
      </c>
      <c r="AZ41">
        <v>1699631302</v>
      </c>
    </row>
    <row r="42" spans="1:52" x14ac:dyDescent="0.3">
      <c r="A42" s="4">
        <v>42</v>
      </c>
      <c r="B42" s="22"/>
      <c r="C42" s="22" t="s">
        <v>715</v>
      </c>
      <c r="D42" s="22" t="s">
        <v>675</v>
      </c>
      <c r="E42" s="18"/>
      <c r="F42" s="30"/>
      <c r="G42" s="23"/>
      <c r="H42" s="22" t="s">
        <v>139</v>
      </c>
      <c r="I42" s="22" t="s">
        <v>106</v>
      </c>
      <c r="J42" s="21"/>
      <c r="K42" s="21"/>
      <c r="L42" s="21"/>
      <c r="M42" s="21">
        <v>2007</v>
      </c>
      <c r="N42" s="21"/>
      <c r="O42" s="21">
        <v>23.99</v>
      </c>
      <c r="P42" s="21" t="s">
        <v>718</v>
      </c>
      <c r="Q42" s="21"/>
      <c r="R42" s="22" t="s">
        <v>711</v>
      </c>
      <c r="S42" s="22" t="s">
        <v>789</v>
      </c>
      <c r="T42" s="22" t="s">
        <v>788</v>
      </c>
      <c r="U42" s="22"/>
      <c r="V42" s="22">
        <v>1</v>
      </c>
      <c r="W42" s="22" t="s">
        <v>11</v>
      </c>
      <c r="X42" s="22" t="s">
        <v>12</v>
      </c>
      <c r="Y42" s="22" t="s">
        <v>712</v>
      </c>
      <c r="Z42" s="22" t="s">
        <v>713</v>
      </c>
      <c r="AA42" s="21" t="s">
        <v>289</v>
      </c>
      <c r="AB42" s="21" t="s">
        <v>290</v>
      </c>
      <c r="AC42" s="22" t="s">
        <v>714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t="s">
        <v>203</v>
      </c>
      <c r="AZ42">
        <v>1975830034</v>
      </c>
    </row>
    <row r="43" spans="1:52" x14ac:dyDescent="0.3">
      <c r="A43" s="21">
        <v>43</v>
      </c>
      <c r="B43" s="6"/>
      <c r="C43" s="6"/>
      <c r="D43" s="6"/>
      <c r="E43" s="8"/>
      <c r="F43" s="79"/>
      <c r="G43" s="8"/>
      <c r="H43" s="6" t="s">
        <v>43</v>
      </c>
      <c r="I43" s="6" t="s">
        <v>36</v>
      </c>
      <c r="M43" s="4">
        <v>2013</v>
      </c>
      <c r="O43" s="4">
        <v>23.99</v>
      </c>
      <c r="R43" s="6"/>
      <c r="S43" s="6"/>
      <c r="T43" s="6"/>
      <c r="U43" s="6"/>
      <c r="V43" s="6"/>
      <c r="W43" s="6"/>
      <c r="X43" s="6"/>
      <c r="Y43" s="6"/>
      <c r="Z43" s="6"/>
      <c r="AA43" s="4"/>
      <c r="AB43" s="4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2" x14ac:dyDescent="0.3">
      <c r="A44" s="4">
        <v>44</v>
      </c>
      <c r="B44" s="22"/>
      <c r="C44" s="22"/>
      <c r="D44" s="22" t="s">
        <v>285</v>
      </c>
      <c r="E44" s="24"/>
      <c r="F44" s="74"/>
      <c r="G44" s="23"/>
      <c r="H44" s="22" t="s">
        <v>139</v>
      </c>
      <c r="I44" s="22" t="s">
        <v>194</v>
      </c>
      <c r="J44" s="21"/>
      <c r="K44" s="21"/>
      <c r="L44" s="21"/>
      <c r="M44" s="21"/>
      <c r="N44" s="21"/>
      <c r="O44" s="28">
        <v>0</v>
      </c>
      <c r="P44" s="28"/>
      <c r="Q44" s="28"/>
      <c r="R44" s="22" t="s">
        <v>292</v>
      </c>
      <c r="S44" s="22"/>
      <c r="T44" s="22" t="s">
        <v>293</v>
      </c>
      <c r="U44" s="22"/>
      <c r="V44" s="22">
        <v>1</v>
      </c>
      <c r="W44" s="22" t="s">
        <v>20</v>
      </c>
      <c r="X44" s="22" t="s">
        <v>286</v>
      </c>
      <c r="Y44" s="22" t="s">
        <v>287</v>
      </c>
      <c r="Z44" s="22" t="s">
        <v>288</v>
      </c>
      <c r="AA44" s="21" t="s">
        <v>289</v>
      </c>
      <c r="AB44" s="21" t="s">
        <v>290</v>
      </c>
      <c r="AC44" s="22" t="s">
        <v>291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t="s">
        <v>203</v>
      </c>
      <c r="AZ44">
        <v>668149925</v>
      </c>
    </row>
    <row r="45" spans="1:52" x14ac:dyDescent="0.3">
      <c r="A45" s="21">
        <v>45</v>
      </c>
      <c r="B45" s="6"/>
      <c r="C45" s="6"/>
      <c r="D45" s="6"/>
      <c r="F45" s="12"/>
      <c r="G45" s="8"/>
      <c r="H45" s="6" t="s">
        <v>198</v>
      </c>
      <c r="I45" s="6" t="s">
        <v>197</v>
      </c>
      <c r="O45" s="29">
        <v>0</v>
      </c>
      <c r="P45" s="29"/>
      <c r="Q45" s="29"/>
      <c r="R45" s="6"/>
      <c r="S45" s="6"/>
      <c r="T45" s="6"/>
      <c r="U45" s="6"/>
      <c r="V45" s="6"/>
      <c r="W45" s="6"/>
      <c r="X45" s="6"/>
      <c r="Y45" s="6"/>
      <c r="Z45" s="6"/>
      <c r="AA45" s="4"/>
      <c r="AB45" s="4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2" x14ac:dyDescent="0.3">
      <c r="A46" s="4">
        <v>46</v>
      </c>
      <c r="B46" s="22"/>
      <c r="C46" s="22"/>
      <c r="D46" s="22" t="s">
        <v>491</v>
      </c>
      <c r="E46" s="24" t="s">
        <v>492</v>
      </c>
      <c r="F46" s="77"/>
      <c r="G46" s="23" t="s">
        <v>494</v>
      </c>
      <c r="H46" s="22" t="s">
        <v>139</v>
      </c>
      <c r="I46" s="22" t="s">
        <v>79</v>
      </c>
      <c r="J46" s="21"/>
      <c r="K46" s="21"/>
      <c r="L46" s="21"/>
      <c r="M46" s="21">
        <v>2019</v>
      </c>
      <c r="N46" s="83" t="s">
        <v>575</v>
      </c>
      <c r="O46" s="28">
        <v>0</v>
      </c>
      <c r="P46" s="28" t="s">
        <v>395</v>
      </c>
      <c r="Q46" s="28"/>
      <c r="R46" s="22" t="s">
        <v>704</v>
      </c>
      <c r="S46" s="22"/>
      <c r="T46" s="22"/>
      <c r="U46" s="22"/>
      <c r="V46" s="22">
        <v>1</v>
      </c>
      <c r="W46" s="22" t="s">
        <v>20</v>
      </c>
      <c r="X46" s="22" t="s">
        <v>555</v>
      </c>
      <c r="Y46" s="22" t="s">
        <v>449</v>
      </c>
      <c r="Z46" s="22"/>
      <c r="AA46" s="21" t="s">
        <v>289</v>
      </c>
      <c r="AB46" s="21" t="s">
        <v>290</v>
      </c>
      <c r="AC46" s="22" t="s">
        <v>705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t="s">
        <v>203</v>
      </c>
      <c r="AZ46">
        <v>1026785800</v>
      </c>
    </row>
    <row r="47" spans="1:52" x14ac:dyDescent="0.3">
      <c r="A47" s="21">
        <v>47</v>
      </c>
      <c r="B47" s="6"/>
      <c r="C47" s="6" t="s">
        <v>97</v>
      </c>
      <c r="D47" s="6" t="s">
        <v>185</v>
      </c>
      <c r="E47" s="8"/>
      <c r="F47" s="79"/>
      <c r="G47" s="8"/>
      <c r="H47" s="6" t="s">
        <v>43</v>
      </c>
      <c r="I47" s="6" t="s">
        <v>493</v>
      </c>
      <c r="M47" s="4">
        <v>2013</v>
      </c>
      <c r="N47" s="4" t="s">
        <v>464</v>
      </c>
      <c r="O47" s="29">
        <v>0</v>
      </c>
      <c r="P47" s="29" t="s">
        <v>423</v>
      </c>
      <c r="Q47" s="29" t="s">
        <v>458</v>
      </c>
      <c r="R47" s="6" t="s">
        <v>424</v>
      </c>
      <c r="S47" s="6" t="s">
        <v>456</v>
      </c>
      <c r="T47" s="6" t="s">
        <v>455</v>
      </c>
      <c r="U47" s="6"/>
      <c r="V47" s="6">
        <v>1</v>
      </c>
      <c r="W47" s="6" t="s">
        <v>11</v>
      </c>
      <c r="X47" s="6" t="s">
        <v>425</v>
      </c>
      <c r="Y47" s="6" t="s">
        <v>435</v>
      </c>
      <c r="Z47" s="6" t="s">
        <v>457</v>
      </c>
      <c r="AA47" s="4" t="s">
        <v>289</v>
      </c>
      <c r="AB47" s="4" t="s">
        <v>290</v>
      </c>
      <c r="AC47" s="6" t="s">
        <v>426</v>
      </c>
      <c r="AD47" s="6">
        <v>2315</v>
      </c>
      <c r="AE47" s="6" t="s">
        <v>466</v>
      </c>
      <c r="AF47" s="6">
        <v>1</v>
      </c>
      <c r="AG47" s="6">
        <v>19</v>
      </c>
      <c r="AH47" s="6" t="s">
        <v>467</v>
      </c>
      <c r="AI47" s="6" t="s">
        <v>468</v>
      </c>
      <c r="AJ47" s="6" t="s">
        <v>290</v>
      </c>
      <c r="AK47" s="6"/>
      <c r="AL47" s="6" t="s">
        <v>13</v>
      </c>
      <c r="AM47" s="6" t="s">
        <v>14</v>
      </c>
      <c r="AN47" s="6" t="s">
        <v>472</v>
      </c>
      <c r="AO47" s="6" t="s">
        <v>474</v>
      </c>
      <c r="AP47" s="6" t="s">
        <v>146</v>
      </c>
      <c r="AQ47" s="6" t="s">
        <v>14</v>
      </c>
      <c r="AR47" s="6" t="s">
        <v>15</v>
      </c>
      <c r="AS47" s="6" t="s">
        <v>473</v>
      </c>
      <c r="AT47" s="6"/>
      <c r="AU47" s="6"/>
      <c r="AV47" s="6"/>
      <c r="AW47" s="6"/>
      <c r="AX47" s="6"/>
    </row>
    <row r="48" spans="1:52" ht="28.8" x14ac:dyDescent="0.3">
      <c r="A48" s="4">
        <v>48</v>
      </c>
      <c r="B48" s="22"/>
      <c r="C48" s="22"/>
      <c r="D48" s="22" t="s">
        <v>201</v>
      </c>
      <c r="E48" s="60"/>
      <c r="F48" s="80"/>
      <c r="G48" s="23" t="s">
        <v>26</v>
      </c>
      <c r="H48" s="22" t="s">
        <v>43</v>
      </c>
      <c r="I48" s="22" t="s">
        <v>29</v>
      </c>
      <c r="J48" s="21"/>
      <c r="K48" s="21"/>
      <c r="L48" s="21"/>
      <c r="M48" s="21">
        <v>2007</v>
      </c>
      <c r="N48" s="21"/>
      <c r="O48" s="28">
        <v>0</v>
      </c>
      <c r="P48" s="28" t="s">
        <v>400</v>
      </c>
      <c r="Q48" s="28"/>
      <c r="R48" s="22" t="s">
        <v>783</v>
      </c>
      <c r="S48" s="22"/>
      <c r="T48" s="25" t="s">
        <v>785</v>
      </c>
      <c r="U48" s="22"/>
      <c r="V48" s="22">
        <v>1</v>
      </c>
      <c r="W48" s="22" t="s">
        <v>20</v>
      </c>
      <c r="X48" s="22" t="s">
        <v>286</v>
      </c>
      <c r="Y48" s="22" t="s">
        <v>786</v>
      </c>
      <c r="Z48" s="22" t="s">
        <v>787</v>
      </c>
      <c r="AA48" s="21" t="s">
        <v>289</v>
      </c>
      <c r="AB48" s="21" t="s">
        <v>290</v>
      </c>
      <c r="AC48" s="22" t="s">
        <v>784</v>
      </c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Z48">
        <v>1073775458</v>
      </c>
    </row>
    <row r="49" spans="1:52" x14ac:dyDescent="0.3">
      <c r="A49" s="21">
        <v>49</v>
      </c>
      <c r="B49" s="41">
        <v>2144</v>
      </c>
      <c r="C49" s="50"/>
      <c r="D49" s="51" t="s">
        <v>879</v>
      </c>
      <c r="E49" s="52"/>
      <c r="F49" s="81"/>
      <c r="G49" s="53" t="s">
        <v>427</v>
      </c>
      <c r="H49" s="51" t="s">
        <v>139</v>
      </c>
      <c r="I49" s="51" t="s">
        <v>194</v>
      </c>
      <c r="J49" s="54" t="s">
        <v>195</v>
      </c>
      <c r="K49" s="54" t="s">
        <v>195</v>
      </c>
      <c r="L49" s="54" t="s">
        <v>195</v>
      </c>
      <c r="M49" s="54" t="s">
        <v>195</v>
      </c>
      <c r="N49" s="54" t="s">
        <v>195</v>
      </c>
      <c r="O49" s="55">
        <v>0</v>
      </c>
      <c r="P49" s="55" t="s">
        <v>428</v>
      </c>
      <c r="Q49" s="55"/>
      <c r="R49" s="51" t="s">
        <v>429</v>
      </c>
      <c r="S49" s="51"/>
      <c r="T49" s="63" t="s">
        <v>430</v>
      </c>
      <c r="U49" s="63"/>
      <c r="V49" s="51">
        <v>1</v>
      </c>
      <c r="W49" s="51" t="s">
        <v>20</v>
      </c>
      <c r="X49" s="51" t="s">
        <v>414</v>
      </c>
      <c r="Y49" s="51" t="s">
        <v>431</v>
      </c>
      <c r="Z49" s="51" t="s">
        <v>432</v>
      </c>
      <c r="AA49" s="54" t="s">
        <v>289</v>
      </c>
      <c r="AB49" s="54" t="s">
        <v>290</v>
      </c>
      <c r="AC49" s="51" t="s">
        <v>433</v>
      </c>
      <c r="AD49" s="51"/>
      <c r="AE49" s="51"/>
      <c r="AF49" s="51"/>
      <c r="AG49" s="51"/>
      <c r="AH49" s="51"/>
      <c r="AI49" s="51"/>
      <c r="AJ49" s="51"/>
      <c r="AK49" s="51" t="s">
        <v>434</v>
      </c>
      <c r="AL49" s="51" t="s">
        <v>176</v>
      </c>
      <c r="AM49" s="51" t="s">
        <v>286</v>
      </c>
      <c r="AN49" s="51"/>
      <c r="AO49" s="51"/>
      <c r="AP49" s="51" t="s">
        <v>177</v>
      </c>
      <c r="AQ49" s="51" t="s">
        <v>286</v>
      </c>
      <c r="AR49" s="51"/>
      <c r="AS49" s="51"/>
      <c r="AT49" s="51"/>
      <c r="AU49" s="51"/>
      <c r="AV49" s="51"/>
      <c r="AW49" s="51"/>
      <c r="AX49" s="51"/>
      <c r="AY49" t="s">
        <v>203</v>
      </c>
    </row>
    <row r="50" spans="1:52" ht="28.8" x14ac:dyDescent="0.3">
      <c r="A50" s="21">
        <v>51</v>
      </c>
      <c r="B50" s="22">
        <v>2309</v>
      </c>
      <c r="C50" s="22"/>
      <c r="D50" s="22" t="s">
        <v>675</v>
      </c>
      <c r="E50" s="24" t="s">
        <v>676</v>
      </c>
      <c r="F50" s="74"/>
      <c r="G50" s="23" t="s">
        <v>26</v>
      </c>
      <c r="H50" s="22" t="s">
        <v>43</v>
      </c>
      <c r="I50" s="22" t="s">
        <v>194</v>
      </c>
      <c r="J50" s="21"/>
      <c r="K50" s="21"/>
      <c r="L50" s="21"/>
      <c r="M50" s="21">
        <v>2013</v>
      </c>
      <c r="N50" s="21" t="s">
        <v>465</v>
      </c>
      <c r="O50" s="28">
        <v>23.99</v>
      </c>
      <c r="P50" s="28" t="s">
        <v>400</v>
      </c>
      <c r="Q50" s="28"/>
      <c r="R50" s="22" t="s">
        <v>447</v>
      </c>
      <c r="S50" s="22"/>
      <c r="T50" s="62" t="s">
        <v>444</v>
      </c>
      <c r="U50" s="62"/>
      <c r="V50" s="22">
        <v>1</v>
      </c>
      <c r="W50" s="22" t="s">
        <v>20</v>
      </c>
      <c r="X50" s="22" t="s">
        <v>286</v>
      </c>
      <c r="Y50" s="22" t="s">
        <v>442</v>
      </c>
      <c r="Z50" s="22" t="s">
        <v>443</v>
      </c>
      <c r="AA50" s="21" t="s">
        <v>289</v>
      </c>
      <c r="AB50" s="21" t="s">
        <v>290</v>
      </c>
      <c r="AC50" s="22" t="s">
        <v>454</v>
      </c>
      <c r="AD50" s="22"/>
      <c r="AE50" s="22" t="s">
        <v>286</v>
      </c>
      <c r="AF50" s="22">
        <v>1</v>
      </c>
      <c r="AG50" s="22">
        <v>19</v>
      </c>
      <c r="AH50" s="22" t="s">
        <v>677</v>
      </c>
      <c r="AI50" s="22" t="s">
        <v>678</v>
      </c>
      <c r="AJ50" s="22" t="s">
        <v>290</v>
      </c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6" t="s">
        <v>203</v>
      </c>
      <c r="AZ50" s="6">
        <v>1083268535</v>
      </c>
    </row>
    <row r="51" spans="1:52" x14ac:dyDescent="0.3">
      <c r="A51" s="58">
        <v>52</v>
      </c>
      <c r="B51" s="49"/>
      <c r="C51" s="49" t="s">
        <v>450</v>
      </c>
      <c r="D51" s="49" t="s">
        <v>197</v>
      </c>
      <c r="E51" s="56"/>
      <c r="F51" s="82"/>
      <c r="G51" s="57" t="s">
        <v>195</v>
      </c>
      <c r="H51" s="49" t="s">
        <v>197</v>
      </c>
      <c r="I51" s="49" t="s">
        <v>197</v>
      </c>
      <c r="J51" s="58" t="s">
        <v>195</v>
      </c>
      <c r="K51" s="58" t="s">
        <v>195</v>
      </c>
      <c r="L51" s="58" t="s">
        <v>195</v>
      </c>
      <c r="M51" s="58" t="s">
        <v>195</v>
      </c>
      <c r="N51" s="58" t="s">
        <v>195</v>
      </c>
      <c r="O51" s="59">
        <v>0</v>
      </c>
      <c r="P51" s="59" t="s">
        <v>395</v>
      </c>
      <c r="Q51" s="59" t="s">
        <v>452</v>
      </c>
      <c r="R51" s="49" t="s">
        <v>441</v>
      </c>
      <c r="S51" s="49"/>
      <c r="T51" s="58" t="s">
        <v>453</v>
      </c>
      <c r="U51" s="49"/>
      <c r="V51" s="49">
        <v>1</v>
      </c>
      <c r="W51" s="49" t="s">
        <v>20</v>
      </c>
      <c r="X51" s="49" t="s">
        <v>448</v>
      </c>
      <c r="Y51" s="49" t="s">
        <v>449</v>
      </c>
      <c r="Z51" s="49"/>
      <c r="AA51" s="58" t="s">
        <v>289</v>
      </c>
      <c r="AB51" s="58" t="s">
        <v>290</v>
      </c>
      <c r="AC51" s="49" t="s">
        <v>451</v>
      </c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t="s">
        <v>203</v>
      </c>
      <c r="AZ51">
        <v>1858436410</v>
      </c>
    </row>
    <row r="52" spans="1:52" x14ac:dyDescent="0.3">
      <c r="A52" s="21">
        <v>53</v>
      </c>
      <c r="B52" s="22"/>
      <c r="C52" s="22"/>
      <c r="D52" s="22"/>
      <c r="E52" s="24"/>
      <c r="F52" s="74"/>
      <c r="G52" s="23"/>
      <c r="H52" s="22"/>
      <c r="I52" s="22"/>
      <c r="J52" s="21"/>
      <c r="K52" s="21"/>
      <c r="L52" s="21"/>
      <c r="M52" s="21"/>
      <c r="N52" s="83"/>
      <c r="O52" s="28">
        <v>0</v>
      </c>
      <c r="P52" s="28"/>
      <c r="Q52" s="28"/>
      <c r="R52" s="22"/>
      <c r="S52" s="22"/>
      <c r="T52" s="22"/>
      <c r="U52" s="22"/>
      <c r="V52" s="22">
        <v>1</v>
      </c>
      <c r="W52" s="22" t="s">
        <v>20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</row>
    <row r="53" spans="1:52" x14ac:dyDescent="0.3">
      <c r="A53" s="21">
        <v>54</v>
      </c>
      <c r="B53" s="22"/>
      <c r="C53" s="22"/>
      <c r="D53" s="22" t="s">
        <v>636</v>
      </c>
      <c r="E53" s="24" t="s">
        <v>637</v>
      </c>
      <c r="F53" s="74"/>
      <c r="G53" s="23"/>
      <c r="H53" s="22" t="s">
        <v>139</v>
      </c>
      <c r="I53" s="22" t="s">
        <v>142</v>
      </c>
      <c r="J53" s="21"/>
      <c r="K53" s="21"/>
      <c r="L53" s="21"/>
      <c r="M53" s="21">
        <v>2007</v>
      </c>
      <c r="N53" s="21"/>
      <c r="O53" s="28"/>
      <c r="P53" s="28" t="s">
        <v>395</v>
      </c>
      <c r="Q53" s="28"/>
      <c r="R53" s="22" t="s">
        <v>630</v>
      </c>
      <c r="S53" s="22" t="s">
        <v>631</v>
      </c>
      <c r="T53" s="21" t="s">
        <v>632</v>
      </c>
      <c r="U53" s="22"/>
      <c r="V53" s="22">
        <v>1</v>
      </c>
      <c r="W53" s="22" t="s">
        <v>11</v>
      </c>
      <c r="X53" s="22" t="s">
        <v>425</v>
      </c>
      <c r="Y53" s="22" t="s">
        <v>634</v>
      </c>
      <c r="Z53" s="22" t="s">
        <v>635</v>
      </c>
      <c r="AA53" s="21" t="s">
        <v>289</v>
      </c>
      <c r="AB53" s="21" t="s">
        <v>290</v>
      </c>
      <c r="AC53" s="22" t="s">
        <v>633</v>
      </c>
      <c r="AD53" s="22"/>
      <c r="AE53" s="22"/>
      <c r="AF53" s="22"/>
      <c r="AG53" s="22"/>
      <c r="AH53" s="22"/>
      <c r="AI53" s="22"/>
      <c r="AJ53" s="22" t="s">
        <v>67</v>
      </c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t="s">
        <v>203</v>
      </c>
      <c r="AZ53">
        <v>1888381459</v>
      </c>
    </row>
    <row r="54" spans="1:52" x14ac:dyDescent="0.3">
      <c r="A54" s="111">
        <v>55</v>
      </c>
      <c r="B54" s="41">
        <v>2171</v>
      </c>
      <c r="C54" s="41"/>
      <c r="D54" s="41" t="s">
        <v>1031</v>
      </c>
      <c r="E54" s="112"/>
      <c r="F54" s="113"/>
      <c r="G54" s="114"/>
      <c r="H54" s="41" t="s">
        <v>43</v>
      </c>
      <c r="I54" s="41" t="s">
        <v>199</v>
      </c>
      <c r="J54" s="111"/>
      <c r="K54" s="111"/>
      <c r="L54" s="111"/>
      <c r="M54" s="111"/>
      <c r="N54" s="111"/>
      <c r="O54" s="115"/>
      <c r="P54" s="115" t="s">
        <v>395</v>
      </c>
      <c r="Q54" s="115"/>
      <c r="R54" s="41" t="s">
        <v>648</v>
      </c>
      <c r="S54" s="41"/>
      <c r="T54" s="41"/>
      <c r="U54" s="41"/>
      <c r="V54" s="41">
        <v>1</v>
      </c>
      <c r="W54" s="41" t="s">
        <v>11</v>
      </c>
      <c r="X54" s="41" t="s">
        <v>12</v>
      </c>
      <c r="Y54" s="41" t="s">
        <v>646</v>
      </c>
      <c r="Z54" s="41" t="s">
        <v>647</v>
      </c>
      <c r="AA54" s="111" t="s">
        <v>41</v>
      </c>
      <c r="AB54" s="111" t="s">
        <v>67</v>
      </c>
      <c r="AC54" s="41" t="s">
        <v>649</v>
      </c>
      <c r="AD54" s="41"/>
      <c r="AE54" s="41" t="s">
        <v>312</v>
      </c>
      <c r="AF54" s="41">
        <v>1</v>
      </c>
      <c r="AG54" s="41">
        <v>24</v>
      </c>
      <c r="AH54" s="41" t="s">
        <v>663</v>
      </c>
      <c r="AI54" s="41" t="s">
        <v>716</v>
      </c>
      <c r="AJ54" s="41" t="s">
        <v>67</v>
      </c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Z54">
        <v>1843479332</v>
      </c>
    </row>
    <row r="55" spans="1:52" x14ac:dyDescent="0.3">
      <c r="A55" s="21">
        <v>56</v>
      </c>
      <c r="B55" s="22">
        <v>2468</v>
      </c>
      <c r="C55" s="22"/>
      <c r="D55" s="22" t="s">
        <v>127</v>
      </c>
      <c r="E55" s="24" t="s">
        <v>669</v>
      </c>
      <c r="F55" s="74"/>
      <c r="G55" s="23"/>
      <c r="H55" s="22" t="s">
        <v>43</v>
      </c>
      <c r="I55" s="22" t="s">
        <v>366</v>
      </c>
      <c r="J55" s="21"/>
      <c r="K55" s="21"/>
      <c r="L55" s="21"/>
      <c r="M55" s="21">
        <v>365</v>
      </c>
      <c r="N55" s="21"/>
      <c r="O55" s="28"/>
      <c r="P55" s="28" t="s">
        <v>395</v>
      </c>
      <c r="Q55" s="28"/>
      <c r="R55" s="22" t="s">
        <v>652</v>
      </c>
      <c r="S55" s="22" t="s">
        <v>661</v>
      </c>
      <c r="T55" s="21" t="s">
        <v>660</v>
      </c>
      <c r="U55" s="22"/>
      <c r="V55" s="22">
        <v>1</v>
      </c>
      <c r="W55" s="22" t="s">
        <v>11</v>
      </c>
      <c r="X55" s="22" t="s">
        <v>12</v>
      </c>
      <c r="Y55" s="22" t="s">
        <v>646</v>
      </c>
      <c r="Z55" s="22" t="s">
        <v>662</v>
      </c>
      <c r="AA55" s="21" t="s">
        <v>41</v>
      </c>
      <c r="AB55" s="21" t="s">
        <v>67</v>
      </c>
      <c r="AC55" s="22" t="s">
        <v>649</v>
      </c>
      <c r="AD55" s="22"/>
      <c r="AE55" s="22" t="s">
        <v>312</v>
      </c>
      <c r="AF55" s="22">
        <v>1</v>
      </c>
      <c r="AG55" s="22">
        <v>24</v>
      </c>
      <c r="AH55" s="22" t="s">
        <v>663</v>
      </c>
      <c r="AI55" s="22" t="s">
        <v>664</v>
      </c>
      <c r="AJ55" s="22" t="s">
        <v>67</v>
      </c>
      <c r="AK55" s="22"/>
      <c r="AL55" s="22" t="s">
        <v>13</v>
      </c>
      <c r="AM55" s="22" t="s">
        <v>14</v>
      </c>
      <c r="AN55" s="22" t="s">
        <v>472</v>
      </c>
      <c r="AO55" s="22" t="s">
        <v>665</v>
      </c>
      <c r="AP55" s="22" t="s">
        <v>146</v>
      </c>
      <c r="AQ55" s="22" t="s">
        <v>14</v>
      </c>
      <c r="AR55" s="22" t="s">
        <v>15</v>
      </c>
      <c r="AS55" s="22" t="s">
        <v>666</v>
      </c>
      <c r="AT55" s="22"/>
      <c r="AU55" s="22"/>
      <c r="AV55" s="22"/>
      <c r="AW55" s="22"/>
      <c r="AX55" s="22"/>
      <c r="AY55" t="s">
        <v>203</v>
      </c>
      <c r="AZ55">
        <v>1230910736</v>
      </c>
    </row>
    <row r="56" spans="1:52" x14ac:dyDescent="0.3">
      <c r="A56" s="111">
        <v>57</v>
      </c>
      <c r="B56" s="41"/>
      <c r="C56" s="41"/>
      <c r="D56" s="41"/>
      <c r="E56" s="112"/>
      <c r="F56" s="113"/>
      <c r="G56" s="114"/>
      <c r="H56" s="41" t="s">
        <v>43</v>
      </c>
      <c r="I56" s="41" t="s">
        <v>36</v>
      </c>
      <c r="J56" s="111"/>
      <c r="K56" s="111"/>
      <c r="L56" s="111"/>
      <c r="M56" s="111"/>
      <c r="N56" s="111"/>
      <c r="O56" s="115"/>
      <c r="P56" s="115"/>
      <c r="Q56" s="115"/>
      <c r="R56" s="41"/>
      <c r="S56" s="41"/>
      <c r="T56" s="111"/>
      <c r="U56" s="41"/>
      <c r="V56" s="41"/>
      <c r="W56" s="41" t="s">
        <v>20</v>
      </c>
      <c r="X56" s="41" t="s">
        <v>555</v>
      </c>
      <c r="Y56" s="41"/>
      <c r="Z56" s="41"/>
      <c r="AA56" s="111" t="s">
        <v>289</v>
      </c>
      <c r="AB56" s="11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</row>
    <row r="57" spans="1:52" x14ac:dyDescent="0.3">
      <c r="A57" s="21">
        <v>58</v>
      </c>
      <c r="B57" s="22"/>
      <c r="C57" s="22"/>
      <c r="D57" s="22"/>
      <c r="E57" s="24"/>
      <c r="F57" s="74"/>
      <c r="G57" s="23"/>
      <c r="H57" s="22" t="s">
        <v>43</v>
      </c>
      <c r="I57" s="22" t="s">
        <v>36</v>
      </c>
      <c r="J57" s="21"/>
      <c r="K57" s="21"/>
      <c r="L57" s="21"/>
      <c r="M57" s="21"/>
      <c r="N57" s="21"/>
      <c r="O57" s="28"/>
      <c r="P57" s="28"/>
      <c r="Q57" s="28"/>
      <c r="R57" s="22"/>
      <c r="S57" s="22"/>
      <c r="T57" s="21"/>
      <c r="U57" s="22"/>
      <c r="V57" s="22"/>
      <c r="W57" s="22" t="s">
        <v>20</v>
      </c>
      <c r="X57" s="22" t="s">
        <v>555</v>
      </c>
      <c r="Y57" s="22"/>
      <c r="Z57" s="22"/>
      <c r="AA57" s="21" t="s">
        <v>289</v>
      </c>
      <c r="AB57" s="21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</row>
    <row r="58" spans="1:52" x14ac:dyDescent="0.3">
      <c r="A58" s="111">
        <v>59</v>
      </c>
      <c r="B58" s="41"/>
      <c r="C58" s="41"/>
      <c r="D58" s="41"/>
      <c r="E58" s="112"/>
      <c r="F58" s="113"/>
      <c r="G58" s="114"/>
      <c r="H58" s="41" t="s">
        <v>883</v>
      </c>
      <c r="I58" s="41" t="s">
        <v>194</v>
      </c>
      <c r="J58" s="111"/>
      <c r="K58" s="111"/>
      <c r="L58" s="111"/>
      <c r="M58" s="111"/>
      <c r="N58" s="111"/>
      <c r="O58" s="115"/>
      <c r="P58" s="115"/>
      <c r="Q58" s="115"/>
      <c r="R58" s="41"/>
      <c r="S58" s="41"/>
      <c r="T58" s="111"/>
      <c r="U58" s="41"/>
      <c r="V58" s="41"/>
      <c r="W58" s="41" t="s">
        <v>20</v>
      </c>
      <c r="X58" s="41" t="s">
        <v>555</v>
      </c>
      <c r="Y58" s="41"/>
      <c r="Z58" s="41"/>
      <c r="AA58" s="111" t="s">
        <v>289</v>
      </c>
      <c r="AB58" s="11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</row>
    <row r="59" spans="1:52" x14ac:dyDescent="0.3">
      <c r="A59" s="21">
        <v>60</v>
      </c>
      <c r="B59" s="22"/>
      <c r="C59" s="22"/>
      <c r="D59" s="22"/>
      <c r="E59" s="118"/>
      <c r="F59" s="119"/>
      <c r="G59" s="22"/>
      <c r="H59" s="22" t="s">
        <v>43</v>
      </c>
      <c r="I59" s="22" t="s">
        <v>199</v>
      </c>
      <c r="J59" s="21"/>
      <c r="K59" s="21"/>
      <c r="L59" s="21"/>
      <c r="M59" s="21"/>
      <c r="N59" s="21"/>
      <c r="O59" s="28"/>
      <c r="P59" s="28"/>
      <c r="Q59" s="28"/>
      <c r="R59" s="22"/>
      <c r="S59" s="22"/>
      <c r="T59" s="21"/>
      <c r="U59" s="22"/>
      <c r="V59" s="22"/>
      <c r="W59" s="22" t="s">
        <v>20</v>
      </c>
      <c r="X59" s="22" t="s">
        <v>555</v>
      </c>
      <c r="Y59" s="22"/>
      <c r="Z59" s="22"/>
      <c r="AA59" s="21" t="s">
        <v>289</v>
      </c>
      <c r="AB59" s="21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</row>
    <row r="60" spans="1:52" x14ac:dyDescent="0.3">
      <c r="A60" s="111">
        <v>61</v>
      </c>
      <c r="B60" s="22"/>
      <c r="C60" s="22"/>
      <c r="D60" s="22" t="s">
        <v>778</v>
      </c>
      <c r="E60" s="118"/>
      <c r="F60" s="119"/>
      <c r="G60" s="22"/>
      <c r="H60" s="22" t="s">
        <v>43</v>
      </c>
      <c r="I60" s="22" t="s">
        <v>199</v>
      </c>
      <c r="J60" s="21"/>
      <c r="K60" s="21"/>
      <c r="L60" s="21"/>
      <c r="M60" s="21"/>
      <c r="N60" s="21"/>
      <c r="O60" s="28"/>
      <c r="P60" s="28"/>
      <c r="Q60" s="28"/>
      <c r="R60" s="22"/>
      <c r="S60" s="22"/>
      <c r="T60" s="21"/>
      <c r="U60" s="22"/>
      <c r="V60" s="22"/>
      <c r="W60" s="22"/>
      <c r="X60" s="22"/>
      <c r="Y60" s="22"/>
      <c r="Z60" s="22"/>
      <c r="AA60" s="21" t="s">
        <v>289</v>
      </c>
      <c r="AB60" s="21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</row>
    <row r="61" spans="1:52" x14ac:dyDescent="0.3">
      <c r="A61" s="21">
        <v>62</v>
      </c>
      <c r="B61" s="22"/>
      <c r="C61" s="22"/>
      <c r="D61" s="22" t="s">
        <v>778</v>
      </c>
      <c r="E61" s="118"/>
      <c r="F61" s="119"/>
      <c r="G61" s="22"/>
      <c r="H61" s="22" t="s">
        <v>43</v>
      </c>
      <c r="I61" s="22" t="s">
        <v>199</v>
      </c>
      <c r="J61" s="21"/>
      <c r="K61" s="21"/>
      <c r="L61" s="21"/>
      <c r="M61" s="21"/>
      <c r="N61" s="21"/>
      <c r="O61" s="28"/>
      <c r="P61" s="28"/>
      <c r="Q61" s="28"/>
      <c r="R61" s="22"/>
      <c r="S61" s="22"/>
      <c r="T61" s="21"/>
      <c r="U61" s="22"/>
      <c r="V61" s="22"/>
      <c r="W61" s="22"/>
      <c r="X61" s="22"/>
      <c r="Y61" s="22"/>
      <c r="Z61" s="22"/>
      <c r="AA61" s="21" t="s">
        <v>289</v>
      </c>
      <c r="AB61" s="21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</row>
    <row r="62" spans="1:52" x14ac:dyDescent="0.3">
      <c r="A62" s="111">
        <v>63</v>
      </c>
      <c r="B62" s="22"/>
      <c r="C62" s="22"/>
      <c r="D62" s="22" t="s">
        <v>778</v>
      </c>
      <c r="E62" s="118"/>
      <c r="F62" s="119"/>
      <c r="G62" s="22"/>
      <c r="H62" s="22" t="s">
        <v>43</v>
      </c>
      <c r="I62" s="22" t="s">
        <v>199</v>
      </c>
      <c r="J62" s="21"/>
      <c r="K62" s="21"/>
      <c r="L62" s="21"/>
      <c r="M62" s="21"/>
      <c r="N62" s="21"/>
      <c r="O62" s="28"/>
      <c r="P62" s="28"/>
      <c r="Q62" s="28"/>
      <c r="R62" s="22"/>
      <c r="S62" s="22"/>
      <c r="T62" s="21"/>
      <c r="U62" s="22"/>
      <c r="V62" s="22"/>
      <c r="W62" s="22"/>
      <c r="X62" s="22"/>
      <c r="Y62" s="22"/>
      <c r="Z62" s="22"/>
      <c r="AA62" s="21" t="s">
        <v>289</v>
      </c>
      <c r="AB62" s="21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</row>
    <row r="63" spans="1:52" x14ac:dyDescent="0.3">
      <c r="A63" s="21">
        <v>64</v>
      </c>
      <c r="B63" s="22"/>
      <c r="C63" s="22"/>
      <c r="D63" s="22" t="s">
        <v>778</v>
      </c>
      <c r="E63" s="118"/>
      <c r="F63" s="119"/>
      <c r="G63" s="22"/>
      <c r="H63" s="22" t="s">
        <v>43</v>
      </c>
      <c r="I63" s="22" t="s">
        <v>199</v>
      </c>
      <c r="J63" s="21"/>
      <c r="K63" s="21"/>
      <c r="L63" s="21"/>
      <c r="M63" s="21"/>
      <c r="N63" s="21"/>
      <c r="O63" s="28"/>
      <c r="P63" s="28"/>
      <c r="Q63" s="28"/>
      <c r="R63" s="22"/>
      <c r="S63" s="22"/>
      <c r="T63" s="21"/>
      <c r="U63" s="22"/>
      <c r="V63" s="22"/>
      <c r="W63" s="22"/>
      <c r="X63" s="22"/>
      <c r="Y63" s="22"/>
      <c r="Z63" s="22"/>
      <c r="AA63" s="21" t="s">
        <v>289</v>
      </c>
      <c r="AB63" s="21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</row>
    <row r="64" spans="1:52" x14ac:dyDescent="0.3">
      <c r="A64" s="111">
        <v>65</v>
      </c>
      <c r="B64" s="22"/>
      <c r="C64" s="22"/>
      <c r="D64" s="22" t="s">
        <v>778</v>
      </c>
      <c r="E64" s="118"/>
      <c r="F64" s="119"/>
      <c r="G64" s="22"/>
      <c r="H64" s="22" t="s">
        <v>43</v>
      </c>
      <c r="I64" s="22" t="s">
        <v>199</v>
      </c>
      <c r="J64" s="21"/>
      <c r="K64" s="21"/>
      <c r="L64" s="21"/>
      <c r="M64" s="21"/>
      <c r="N64" s="21"/>
      <c r="O64" s="28"/>
      <c r="P64" s="28"/>
      <c r="Q64" s="28"/>
      <c r="R64" s="22"/>
      <c r="S64" s="22"/>
      <c r="T64" s="21"/>
      <c r="U64" s="22"/>
      <c r="V64" s="22"/>
      <c r="W64" s="22"/>
      <c r="X64" s="22"/>
      <c r="Y64" s="22"/>
      <c r="Z64" s="22"/>
      <c r="AA64" s="21" t="s">
        <v>289</v>
      </c>
      <c r="AB64" s="21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</row>
    <row r="65" spans="1:50" x14ac:dyDescent="0.3">
      <c r="A65" s="21">
        <v>66</v>
      </c>
      <c r="B65" s="22"/>
      <c r="C65" s="22"/>
      <c r="D65" s="22" t="s">
        <v>778</v>
      </c>
      <c r="E65" s="118"/>
      <c r="F65" s="119"/>
      <c r="G65" s="22"/>
      <c r="H65" s="22"/>
      <c r="I65" s="22"/>
      <c r="J65" s="21"/>
      <c r="K65" s="21"/>
      <c r="L65" s="21"/>
      <c r="M65" s="21"/>
      <c r="N65" s="21"/>
      <c r="O65" s="28"/>
      <c r="P65" s="28"/>
      <c r="Q65" s="28"/>
      <c r="R65" s="22"/>
      <c r="S65" s="22"/>
      <c r="T65" s="21"/>
      <c r="U65" s="22"/>
      <c r="V65" s="22"/>
      <c r="W65" s="22"/>
      <c r="X65" s="22"/>
      <c r="Y65" s="22"/>
      <c r="Z65" s="22"/>
      <c r="AA65" s="21" t="s">
        <v>289</v>
      </c>
      <c r="AB65" s="21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</row>
    <row r="66" spans="1:50" x14ac:dyDescent="0.3">
      <c r="A66" s="111"/>
      <c r="B66" s="41"/>
      <c r="C66" s="41"/>
      <c r="D66" s="41"/>
      <c r="E66" s="112"/>
      <c r="F66" s="113"/>
      <c r="G66" s="114"/>
      <c r="H66" s="41"/>
      <c r="I66" s="41"/>
      <c r="J66" s="111"/>
      <c r="K66" s="111"/>
      <c r="L66" s="111"/>
      <c r="M66" s="111"/>
      <c r="N66" s="111"/>
      <c r="O66" s="115"/>
      <c r="P66" s="115"/>
      <c r="Q66" s="115"/>
      <c r="R66" s="41"/>
      <c r="S66" s="41"/>
      <c r="T66" s="111"/>
      <c r="U66" s="41"/>
      <c r="V66" s="41"/>
      <c r="W66" s="41"/>
      <c r="X66" s="41"/>
      <c r="Y66" s="41"/>
      <c r="Z66" s="41"/>
      <c r="AA66" s="111"/>
      <c r="AB66" s="11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</row>
    <row r="67" spans="1:50" x14ac:dyDescent="0.3">
      <c r="A67" s="21"/>
      <c r="B67" s="22"/>
      <c r="C67" s="22"/>
      <c r="D67" s="22"/>
      <c r="E67" s="23"/>
      <c r="F67" s="78"/>
      <c r="G67" s="23"/>
      <c r="H67" s="22"/>
      <c r="I67" s="22"/>
      <c r="J67" s="21"/>
      <c r="K67" s="21"/>
      <c r="L67" s="21"/>
      <c r="M67" s="21"/>
      <c r="N67" s="21"/>
      <c r="O67" s="28"/>
      <c r="P67" s="28"/>
      <c r="Q67" s="28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</row>
    <row r="68" spans="1:50" x14ac:dyDescent="0.3">
      <c r="A68" s="14"/>
      <c r="B68" s="15"/>
      <c r="C68" s="15"/>
      <c r="D68" s="15"/>
      <c r="E68" s="14"/>
      <c r="F68" s="14"/>
      <c r="G68" s="16"/>
      <c r="H68" s="15"/>
      <c r="I68" s="15"/>
      <c r="J68" s="17"/>
      <c r="K68" s="17"/>
      <c r="L68" s="17"/>
      <c r="M68" s="17"/>
      <c r="N68" s="17"/>
      <c r="O68" s="17">
        <f>SUM(O2:O52)</f>
        <v>1404.24</v>
      </c>
      <c r="P68" s="17"/>
      <c r="Q68" s="17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1:50" x14ac:dyDescent="0.3">
      <c r="B69" s="6"/>
      <c r="C69" s="7"/>
      <c r="D69" s="6"/>
      <c r="E69" s="37"/>
      <c r="F69" s="37"/>
      <c r="G69" s="8"/>
      <c r="H69" s="6"/>
      <c r="I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x14ac:dyDescent="0.3">
      <c r="E70" s="37"/>
      <c r="F70" s="37"/>
      <c r="G70" s="3"/>
    </row>
    <row r="71" spans="1:50" x14ac:dyDescent="0.3">
      <c r="E71" s="37"/>
      <c r="F71" s="37"/>
      <c r="G71" s="3"/>
    </row>
    <row r="72" spans="1:50" x14ac:dyDescent="0.3">
      <c r="B72" s="6"/>
      <c r="C72" s="6"/>
      <c r="D72" s="6"/>
      <c r="E72" s="37"/>
      <c r="F72" s="37"/>
      <c r="G72" s="8"/>
      <c r="H72" s="6"/>
      <c r="I72" s="6"/>
      <c r="Q72" s="6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x14ac:dyDescent="0.3">
      <c r="E73" s="37"/>
      <c r="F73" s="37"/>
      <c r="G73" s="3"/>
      <c r="Q73" s="66"/>
    </row>
    <row r="74" spans="1:50" x14ac:dyDescent="0.3">
      <c r="B74" s="6"/>
      <c r="C74" s="6"/>
      <c r="D74" s="6"/>
      <c r="E74" s="37"/>
      <c r="F74" s="37"/>
      <c r="G74" s="8"/>
      <c r="H74" s="6"/>
      <c r="I74" s="6"/>
      <c r="Q74" s="6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x14ac:dyDescent="0.3">
      <c r="E75" s="37"/>
      <c r="F75" s="37"/>
      <c r="G75" s="3"/>
      <c r="Q75" s="66"/>
    </row>
    <row r="76" spans="1:50" x14ac:dyDescent="0.3">
      <c r="B76" s="6"/>
      <c r="C76" s="6"/>
      <c r="D76" s="6"/>
      <c r="E76" s="37"/>
      <c r="F76" s="37"/>
      <c r="G76" s="8"/>
      <c r="H76" s="6"/>
      <c r="I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x14ac:dyDescent="0.3">
      <c r="B77" s="6"/>
      <c r="C77" s="6"/>
      <c r="D77" s="6"/>
      <c r="E77" s="37"/>
      <c r="F77" s="37"/>
      <c r="G77" s="8"/>
      <c r="H77" s="6"/>
      <c r="I77" s="6"/>
      <c r="Q77" s="6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x14ac:dyDescent="0.3">
      <c r="E78" s="37"/>
      <c r="F78" s="37"/>
      <c r="G78" s="3"/>
    </row>
    <row r="79" spans="1:50" x14ac:dyDescent="0.3">
      <c r="E79" s="37"/>
      <c r="F79" s="37"/>
      <c r="G79" s="3"/>
    </row>
    <row r="80" spans="1:50" x14ac:dyDescent="0.3">
      <c r="B80" s="6"/>
      <c r="C80" s="6"/>
      <c r="D80" s="6"/>
      <c r="E80" s="37"/>
      <c r="F80" s="37"/>
      <c r="G80" s="8"/>
      <c r="H80" s="6"/>
      <c r="I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2:50" x14ac:dyDescent="0.3">
      <c r="E81" s="37"/>
      <c r="F81" s="37"/>
      <c r="G81" s="3"/>
    </row>
    <row r="82" spans="2:50" x14ac:dyDescent="0.3">
      <c r="E82" s="37"/>
      <c r="F82" s="37"/>
      <c r="G82" s="3"/>
    </row>
    <row r="83" spans="2:50" x14ac:dyDescent="0.3">
      <c r="B83" s="6"/>
      <c r="C83" s="6"/>
      <c r="D83" s="6"/>
      <c r="E83" s="37"/>
      <c r="F83" s="37"/>
      <c r="G83" s="8"/>
      <c r="H83" s="6"/>
      <c r="I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2:50" x14ac:dyDescent="0.3">
      <c r="E84" s="37"/>
      <c r="F84" s="37"/>
      <c r="G84" s="3"/>
    </row>
    <row r="85" spans="2:50" x14ac:dyDescent="0.3">
      <c r="B85" s="6"/>
      <c r="C85" s="6"/>
      <c r="D85" s="6"/>
      <c r="E85" s="37"/>
      <c r="F85" s="37"/>
      <c r="G85" s="8"/>
      <c r="H85" s="6"/>
      <c r="I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2:50" x14ac:dyDescent="0.3">
      <c r="B86" s="6"/>
      <c r="C86" s="6"/>
      <c r="D86" s="6"/>
      <c r="E86" s="37"/>
      <c r="F86" s="37"/>
      <c r="G86" s="8"/>
      <c r="H86" s="6"/>
      <c r="I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2:50" x14ac:dyDescent="0.3">
      <c r="E87" s="37"/>
      <c r="F87" s="37"/>
      <c r="G87" s="3"/>
    </row>
    <row r="88" spans="2:50" x14ac:dyDescent="0.3">
      <c r="E88" s="37"/>
      <c r="F88" s="37"/>
      <c r="G88" s="3"/>
    </row>
    <row r="89" spans="2:50" x14ac:dyDescent="0.3">
      <c r="E89" s="37"/>
      <c r="F89" s="37"/>
      <c r="G89" s="3"/>
    </row>
    <row r="90" spans="2:50" x14ac:dyDescent="0.3">
      <c r="E90" s="37"/>
      <c r="F90" s="37"/>
      <c r="G90" s="3"/>
    </row>
    <row r="91" spans="2:50" x14ac:dyDescent="0.3">
      <c r="E91" s="37"/>
      <c r="F91" s="37"/>
      <c r="G91" s="3"/>
    </row>
    <row r="92" spans="2:50" x14ac:dyDescent="0.3">
      <c r="E92" s="5"/>
      <c r="F92" s="5"/>
    </row>
  </sheetData>
  <autoFilter ref="B1:AX91" xr:uid="{F9CF553D-4163-4942-B455-BABF79CAE87B}"/>
  <sortState xmlns:xlrd2="http://schemas.microsoft.com/office/spreadsheetml/2017/richdata2" ref="D2:AX91">
    <sortCondition ref="D2:D91"/>
  </sortState>
  <phoneticPr fontId="4" type="noConversion"/>
  <hyperlinks>
    <hyperlink ref="E3" r:id="rId1" xr:uid="{2162A821-92FD-4B74-99B0-693E033A3E66}"/>
    <hyperlink ref="E2" r:id="rId2" xr:uid="{26BE320B-2FF0-4358-9B5D-BA2DC7C7395B}"/>
    <hyperlink ref="E4" r:id="rId3" xr:uid="{9994B6BF-7B83-4049-8606-8E9C24ED44AD}"/>
    <hyperlink ref="E5" r:id="rId4" xr:uid="{F73C7346-5A24-4D1A-95E5-62E047340129}"/>
    <hyperlink ref="E7" r:id="rId5" xr:uid="{BC513232-54EE-4135-920E-C37112DFCFF2}"/>
    <hyperlink ref="E6" r:id="rId6" xr:uid="{1B2EAF51-88B5-427C-A598-3EAF225C11EE}"/>
    <hyperlink ref="E9" r:id="rId7" xr:uid="{BEB591B0-A3EA-44C1-A9A5-9D69B0921258}"/>
    <hyperlink ref="E14" r:id="rId8" xr:uid="{E07249DE-DAD5-4FB5-BCE4-7F57BA57AAE3}"/>
    <hyperlink ref="E15" r:id="rId9" xr:uid="{1E7202E7-FFF1-4E82-B08B-42AEA840FB29}"/>
    <hyperlink ref="E20" r:id="rId10" xr:uid="{42C7B037-DDDC-496A-8BA3-82EF503043AB}"/>
    <hyperlink ref="E8" r:id="rId11" xr:uid="{972FC9A3-4FC6-43B2-BD02-5ED04C2FB9DD}"/>
    <hyperlink ref="E10" r:id="rId12" xr:uid="{AD5F1747-DAC7-4E42-B530-4DEEA2704D04}"/>
    <hyperlink ref="E16" r:id="rId13" xr:uid="{AA5D129E-28DD-4A2D-981A-7B6C53E3D3C7}"/>
    <hyperlink ref="E17" r:id="rId14" xr:uid="{CEF15B5C-417E-4150-8E5C-A7D3E76D21CB}"/>
    <hyperlink ref="E18" r:id="rId15" xr:uid="{2836C998-3105-4D79-8D74-762031F5499B}"/>
    <hyperlink ref="E24" r:id="rId16" xr:uid="{53AACCAE-13DB-4A95-9ED9-AB0A79C5F529}"/>
    <hyperlink ref="E36" r:id="rId17" xr:uid="{548B2ECC-6681-4172-BB9A-A24B7888F39E}"/>
    <hyperlink ref="E11" r:id="rId18" xr:uid="{CB670574-251F-4AB8-B0EE-8A8A8A3A3BC8}"/>
    <hyperlink ref="E12" r:id="rId19" xr:uid="{4FCA9D6D-8C9A-4673-807A-C0FDC6714280}"/>
    <hyperlink ref="E13" r:id="rId20" xr:uid="{4032FE10-DCA9-4B90-8C60-7951F5DCA146}"/>
    <hyperlink ref="E23" r:id="rId21" xr:uid="{9766AA2A-2E05-4838-8532-BA9A60A70DB7}"/>
    <hyperlink ref="E21" r:id="rId22" xr:uid="{95B86626-ED04-46E7-8A45-02821D188755}"/>
    <hyperlink ref="E34" r:id="rId23" xr:uid="{6F80AE8F-0BE8-4EAA-8821-48D5B511CB1F}"/>
    <hyperlink ref="E22" r:id="rId24" xr:uid="{B345F528-C8B5-4DAE-B1ED-653C213BE2C7}"/>
    <hyperlink ref="E19" r:id="rId25" xr:uid="{A90EB2B9-EBCA-4592-A212-1CAAA4A8E1B5}"/>
    <hyperlink ref="N16" r:id="rId26" xr:uid="{47447AF7-5530-44C4-A290-D52B756E6D2D}"/>
    <hyperlink ref="E46" r:id="rId27" xr:uid="{C25639D8-30F6-4FA9-A1BC-DD6C467311F9}"/>
    <hyperlink ref="N38" r:id="rId28" xr:uid="{49180D5E-72F5-4525-9F74-C1E0BA399E79}"/>
    <hyperlink ref="N46" r:id="rId29" xr:uid="{6CD7B87C-E3CC-4EA9-AE9F-5457CDF6A93F}"/>
  </hyperlinks>
  <pageMargins left="0.511811024" right="0.511811024" top="0.78740157499999996" bottom="0.78740157499999996" header="0.31496062000000002" footer="0.31496062000000002"/>
  <pageSetup paperSize="9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CD97-EA3F-4D57-BBE6-F74C5848073E}">
  <dimension ref="A1:K7"/>
  <sheetViews>
    <sheetView workbookViewId="0">
      <selection activeCell="C2" sqref="C2:C7"/>
    </sheetView>
  </sheetViews>
  <sheetFormatPr defaultRowHeight="14.4" x14ac:dyDescent="0.3"/>
  <cols>
    <col min="1" max="1" width="8.6640625" bestFit="1" customWidth="1"/>
    <col min="2" max="2" width="17.33203125" bestFit="1" customWidth="1"/>
    <col min="3" max="4" width="10.88671875" bestFit="1" customWidth="1"/>
    <col min="5" max="5" width="13.88671875" bestFit="1" customWidth="1"/>
    <col min="6" max="6" width="7.6640625" bestFit="1" customWidth="1"/>
    <col min="7" max="7" width="14.5546875" bestFit="1" customWidth="1"/>
    <col min="8" max="8" width="14.6640625" bestFit="1" customWidth="1"/>
    <col min="9" max="9" width="17.88671875" bestFit="1" customWidth="1"/>
    <col min="10" max="10" width="12" bestFit="1" customWidth="1"/>
    <col min="11" max="11" width="19.33203125" bestFit="1" customWidth="1"/>
  </cols>
  <sheetData>
    <row r="1" spans="1:11" x14ac:dyDescent="0.3">
      <c r="A1" s="1" t="s">
        <v>0</v>
      </c>
      <c r="B1" s="1" t="s">
        <v>174</v>
      </c>
      <c r="C1" s="1" t="s">
        <v>18</v>
      </c>
      <c r="D1" s="1" t="s">
        <v>27</v>
      </c>
      <c r="E1" s="1" t="s">
        <v>10</v>
      </c>
      <c r="F1" s="1" t="s">
        <v>24</v>
      </c>
      <c r="G1" s="1" t="s">
        <v>68</v>
      </c>
      <c r="H1" s="1" t="s">
        <v>3</v>
      </c>
      <c r="I1" s="1" t="s">
        <v>4</v>
      </c>
      <c r="J1" s="1" t="s">
        <v>34</v>
      </c>
      <c r="K1" s="1" t="s">
        <v>64</v>
      </c>
    </row>
    <row r="2" spans="1:11" x14ac:dyDescent="0.3">
      <c r="A2">
        <v>2185</v>
      </c>
      <c r="B2" s="91" t="s">
        <v>188</v>
      </c>
      <c r="C2" s="4" t="s">
        <v>43</v>
      </c>
      <c r="D2" s="4" t="s">
        <v>148</v>
      </c>
      <c r="E2" s="4" t="s">
        <v>16</v>
      </c>
      <c r="F2" s="4">
        <v>1</v>
      </c>
      <c r="G2" s="4" t="s">
        <v>173</v>
      </c>
      <c r="H2" s="4" t="s">
        <v>74</v>
      </c>
      <c r="I2" s="4" t="s">
        <v>175</v>
      </c>
      <c r="J2" s="4" t="s">
        <v>67</v>
      </c>
      <c r="K2" s="4"/>
    </row>
    <row r="3" spans="1:11" x14ac:dyDescent="0.3">
      <c r="A3">
        <v>2192</v>
      </c>
      <c r="B3" s="92" t="s">
        <v>136</v>
      </c>
      <c r="C3" s="4" t="s">
        <v>43</v>
      </c>
      <c r="D3" s="4" t="s">
        <v>148</v>
      </c>
      <c r="E3" s="4" t="s">
        <v>16</v>
      </c>
      <c r="F3" s="4">
        <v>1</v>
      </c>
      <c r="G3" s="4" t="s">
        <v>173</v>
      </c>
      <c r="H3" s="4" t="s">
        <v>74</v>
      </c>
      <c r="I3" s="4" t="s">
        <v>437</v>
      </c>
      <c r="J3" s="4" t="s">
        <v>67</v>
      </c>
    </row>
    <row r="4" spans="1:11" x14ac:dyDescent="0.3">
      <c r="A4">
        <v>2193</v>
      </c>
      <c r="B4" s="92" t="s">
        <v>436</v>
      </c>
      <c r="C4" s="61" t="s">
        <v>43</v>
      </c>
      <c r="D4" s="4" t="s">
        <v>199</v>
      </c>
      <c r="E4" s="4" t="s">
        <v>16</v>
      </c>
      <c r="F4" s="4">
        <v>1</v>
      </c>
      <c r="G4" s="4" t="s">
        <v>173</v>
      </c>
      <c r="H4" s="4" t="s">
        <v>74</v>
      </c>
      <c r="I4" s="4" t="s">
        <v>438</v>
      </c>
      <c r="J4" s="4" t="s">
        <v>67</v>
      </c>
    </row>
    <row r="5" spans="1:11" x14ac:dyDescent="0.3">
      <c r="B5" s="92"/>
      <c r="C5" s="4" t="s">
        <v>43</v>
      </c>
      <c r="D5" s="4" t="s">
        <v>199</v>
      </c>
      <c r="E5" s="4" t="s">
        <v>286</v>
      </c>
      <c r="F5" s="4">
        <v>1</v>
      </c>
      <c r="G5" s="4" t="s">
        <v>461</v>
      </c>
      <c r="H5" t="s">
        <v>460</v>
      </c>
      <c r="I5" s="4" t="s">
        <v>459</v>
      </c>
      <c r="J5" s="4" t="s">
        <v>290</v>
      </c>
    </row>
    <row r="6" spans="1:11" x14ac:dyDescent="0.3">
      <c r="B6" s="92" t="s">
        <v>645</v>
      </c>
      <c r="C6" s="4" t="s">
        <v>43</v>
      </c>
      <c r="D6" s="4" t="s">
        <v>148</v>
      </c>
      <c r="E6" s="4" t="s">
        <v>16</v>
      </c>
      <c r="F6" s="4">
        <v>1</v>
      </c>
      <c r="G6" s="4" t="s">
        <v>173</v>
      </c>
      <c r="H6" s="4" t="s">
        <v>74</v>
      </c>
      <c r="J6" s="4" t="s">
        <v>67</v>
      </c>
    </row>
    <row r="7" spans="1:11" x14ac:dyDescent="0.3">
      <c r="A7">
        <v>2174</v>
      </c>
      <c r="B7" s="92" t="s">
        <v>778</v>
      </c>
      <c r="C7" s="4" t="s">
        <v>43</v>
      </c>
      <c r="D7" s="4" t="s">
        <v>199</v>
      </c>
      <c r="E7" s="4" t="s">
        <v>16</v>
      </c>
      <c r="F7" s="4">
        <v>1</v>
      </c>
      <c r="G7">
        <v>19</v>
      </c>
      <c r="H7" t="s">
        <v>462</v>
      </c>
      <c r="I7" t="s">
        <v>463</v>
      </c>
      <c r="J7" s="4" t="s">
        <v>290</v>
      </c>
    </row>
  </sheetData>
  <autoFilter ref="A1:K1" xr:uid="{56C8CD97-EA3F-4D57-BBE6-F74C5848073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29B6-6B67-40B3-9AB2-D67FEDC21261}">
  <dimension ref="B3:J28"/>
  <sheetViews>
    <sheetView workbookViewId="0">
      <selection activeCell="H31" sqref="H31"/>
    </sheetView>
  </sheetViews>
  <sheetFormatPr defaultRowHeight="14.4" x14ac:dyDescent="0.3"/>
  <cols>
    <col min="2" max="2" width="3.6640625" bestFit="1" customWidth="1"/>
    <col min="3" max="3" width="13.6640625" bestFit="1" customWidth="1"/>
    <col min="7" max="8" width="12.6640625" bestFit="1" customWidth="1"/>
    <col min="10" max="10" width="21" bestFit="1" customWidth="1"/>
  </cols>
  <sheetData>
    <row r="3" spans="2:10" x14ac:dyDescent="0.3">
      <c r="B3" s="96" t="s">
        <v>916</v>
      </c>
      <c r="C3" s="96" t="s">
        <v>1</v>
      </c>
      <c r="D3" s="96" t="s">
        <v>2</v>
      </c>
      <c r="E3" s="96" t="s">
        <v>3</v>
      </c>
      <c r="F3" s="96" t="s">
        <v>886</v>
      </c>
      <c r="G3" s="96" t="s">
        <v>729</v>
      </c>
      <c r="H3" s="96" t="s">
        <v>887</v>
      </c>
      <c r="I3" s="96" t="s">
        <v>18</v>
      </c>
      <c r="J3" s="96" t="s">
        <v>27</v>
      </c>
    </row>
    <row r="4" spans="2:10" x14ac:dyDescent="0.3">
      <c r="B4" s="99">
        <v>1</v>
      </c>
      <c r="C4" s="96" t="s">
        <v>884</v>
      </c>
      <c r="D4" s="96" t="s">
        <v>885</v>
      </c>
      <c r="E4" s="96" t="s">
        <v>888</v>
      </c>
      <c r="F4" s="96" t="s">
        <v>729</v>
      </c>
      <c r="G4" s="96" t="s">
        <v>889</v>
      </c>
      <c r="H4" s="96" t="s">
        <v>896</v>
      </c>
      <c r="I4" s="96" t="s">
        <v>43</v>
      </c>
      <c r="J4" s="96" t="s">
        <v>897</v>
      </c>
    </row>
    <row r="5" spans="2:10" x14ac:dyDescent="0.3">
      <c r="B5" s="99">
        <v>2</v>
      </c>
      <c r="C5" s="96" t="s">
        <v>884</v>
      </c>
      <c r="D5" s="96" t="s">
        <v>885</v>
      </c>
      <c r="E5" s="96" t="s">
        <v>888</v>
      </c>
      <c r="F5" s="96" t="s">
        <v>729</v>
      </c>
      <c r="G5" s="96" t="s">
        <v>890</v>
      </c>
      <c r="H5" s="96" t="s">
        <v>896</v>
      </c>
      <c r="I5" s="96" t="s">
        <v>43</v>
      </c>
      <c r="J5" s="96" t="s">
        <v>129</v>
      </c>
    </row>
    <row r="6" spans="2:10" x14ac:dyDescent="0.3">
      <c r="B6" s="99">
        <v>3</v>
      </c>
      <c r="C6" s="96" t="s">
        <v>884</v>
      </c>
      <c r="D6" s="96" t="s">
        <v>885</v>
      </c>
      <c r="E6" s="96" t="s">
        <v>888</v>
      </c>
      <c r="F6" s="96" t="s">
        <v>729</v>
      </c>
      <c r="G6" s="96" t="s">
        <v>891</v>
      </c>
      <c r="H6" s="96" t="s">
        <v>896</v>
      </c>
      <c r="I6" s="96" t="s">
        <v>43</v>
      </c>
      <c r="J6" s="96" t="s">
        <v>898</v>
      </c>
    </row>
    <row r="7" spans="2:10" x14ac:dyDescent="0.3">
      <c r="B7" s="99">
        <v>4</v>
      </c>
      <c r="C7" s="96" t="s">
        <v>884</v>
      </c>
      <c r="D7" s="96" t="s">
        <v>885</v>
      </c>
      <c r="E7" s="96" t="s">
        <v>888</v>
      </c>
      <c r="F7" s="96" t="s">
        <v>729</v>
      </c>
      <c r="G7" s="96" t="s">
        <v>892</v>
      </c>
      <c r="H7" s="96" t="s">
        <v>896</v>
      </c>
      <c r="I7" s="96" t="s">
        <v>43</v>
      </c>
      <c r="J7" s="96" t="s">
        <v>36</v>
      </c>
    </row>
    <row r="8" spans="2:10" x14ac:dyDescent="0.3">
      <c r="B8" s="99">
        <v>5</v>
      </c>
      <c r="C8" s="96" t="s">
        <v>884</v>
      </c>
      <c r="D8" s="96" t="s">
        <v>885</v>
      </c>
      <c r="E8" s="96" t="s">
        <v>888</v>
      </c>
      <c r="F8" s="96" t="s">
        <v>729</v>
      </c>
      <c r="G8" s="96" t="s">
        <v>893</v>
      </c>
      <c r="H8" s="96" t="s">
        <v>896</v>
      </c>
      <c r="I8" s="96" t="s">
        <v>43</v>
      </c>
      <c r="J8" s="96" t="s">
        <v>899</v>
      </c>
    </row>
    <row r="9" spans="2:10" x14ac:dyDescent="0.3">
      <c r="B9" s="99">
        <v>6</v>
      </c>
      <c r="C9" s="96" t="s">
        <v>884</v>
      </c>
      <c r="D9" s="96" t="s">
        <v>885</v>
      </c>
      <c r="E9" s="96" t="s">
        <v>888</v>
      </c>
      <c r="F9" s="96" t="s">
        <v>729</v>
      </c>
      <c r="G9" s="96" t="s">
        <v>894</v>
      </c>
      <c r="H9" s="96" t="s">
        <v>896</v>
      </c>
      <c r="I9" s="96" t="s">
        <v>43</v>
      </c>
      <c r="J9" s="96" t="s">
        <v>28</v>
      </c>
    </row>
    <row r="10" spans="2:10" x14ac:dyDescent="0.3">
      <c r="B10" s="99">
        <v>7</v>
      </c>
      <c r="C10" s="96" t="s">
        <v>884</v>
      </c>
      <c r="D10" s="96" t="s">
        <v>885</v>
      </c>
      <c r="E10" s="96" t="s">
        <v>888</v>
      </c>
      <c r="F10" s="96" t="s">
        <v>729</v>
      </c>
      <c r="G10" s="96" t="s">
        <v>895</v>
      </c>
      <c r="H10" s="96" t="s">
        <v>896</v>
      </c>
      <c r="I10" s="96" t="s">
        <v>883</v>
      </c>
      <c r="J10" s="96" t="s">
        <v>79</v>
      </c>
    </row>
    <row r="11" spans="2:10" x14ac:dyDescent="0.3">
      <c r="B11" s="99">
        <v>8</v>
      </c>
      <c r="C11" s="96" t="s">
        <v>884</v>
      </c>
      <c r="D11" s="96" t="s">
        <v>286</v>
      </c>
      <c r="E11" s="96" t="s">
        <v>914</v>
      </c>
      <c r="F11" s="96" t="s">
        <v>900</v>
      </c>
      <c r="G11" s="96"/>
      <c r="H11" s="96" t="s">
        <v>289</v>
      </c>
      <c r="I11" s="96" t="s">
        <v>43</v>
      </c>
      <c r="J11" s="96" t="s">
        <v>901</v>
      </c>
    </row>
    <row r="12" spans="2:10" x14ac:dyDescent="0.3">
      <c r="B12" s="99">
        <v>9</v>
      </c>
      <c r="C12" s="96" t="s">
        <v>884</v>
      </c>
      <c r="D12" s="96" t="s">
        <v>286</v>
      </c>
      <c r="E12" s="96" t="s">
        <v>914</v>
      </c>
      <c r="F12" s="96" t="s">
        <v>900</v>
      </c>
      <c r="G12" s="96"/>
      <c r="H12" s="96" t="s">
        <v>289</v>
      </c>
      <c r="I12" s="96" t="s">
        <v>43</v>
      </c>
      <c r="J12" s="96" t="s">
        <v>902</v>
      </c>
    </row>
    <row r="13" spans="2:10" x14ac:dyDescent="0.3">
      <c r="B13" s="99">
        <v>10</v>
      </c>
      <c r="C13" s="96" t="s">
        <v>884</v>
      </c>
      <c r="D13" s="96" t="s">
        <v>286</v>
      </c>
      <c r="E13" s="96" t="s">
        <v>914</v>
      </c>
      <c r="F13" s="96" t="s">
        <v>900</v>
      </c>
      <c r="G13" s="96"/>
      <c r="H13" s="96" t="s">
        <v>289</v>
      </c>
      <c r="I13" s="96" t="s">
        <v>43</v>
      </c>
      <c r="J13" s="96" t="s">
        <v>903</v>
      </c>
    </row>
    <row r="14" spans="2:10" x14ac:dyDescent="0.3">
      <c r="B14" s="99">
        <v>11</v>
      </c>
      <c r="C14" s="96" t="s">
        <v>884</v>
      </c>
      <c r="D14" s="96" t="s">
        <v>286</v>
      </c>
      <c r="E14" s="96">
        <v>1002</v>
      </c>
      <c r="F14" s="96" t="s">
        <v>900</v>
      </c>
      <c r="G14" s="96"/>
      <c r="H14" s="96" t="s">
        <v>289</v>
      </c>
      <c r="I14" s="96" t="s">
        <v>43</v>
      </c>
      <c r="J14" s="96" t="s">
        <v>129</v>
      </c>
    </row>
    <row r="15" spans="2:10" x14ac:dyDescent="0.3">
      <c r="B15" s="99">
        <v>12</v>
      </c>
      <c r="C15" s="96" t="s">
        <v>884</v>
      </c>
      <c r="D15" s="96" t="s">
        <v>286</v>
      </c>
      <c r="E15" s="96">
        <v>1002</v>
      </c>
      <c r="F15" s="96" t="s">
        <v>900</v>
      </c>
      <c r="G15" s="96"/>
      <c r="H15" s="96" t="s">
        <v>289</v>
      </c>
      <c r="I15" s="96" t="s">
        <v>43</v>
      </c>
      <c r="J15" s="96" t="s">
        <v>135</v>
      </c>
    </row>
    <row r="16" spans="2:10" x14ac:dyDescent="0.3">
      <c r="B16" s="99">
        <v>13</v>
      </c>
      <c r="C16" s="96" t="s">
        <v>884</v>
      </c>
      <c r="D16" s="96" t="s">
        <v>286</v>
      </c>
      <c r="E16" s="96" t="s">
        <v>914</v>
      </c>
      <c r="F16" s="96" t="s">
        <v>900</v>
      </c>
      <c r="G16" s="96"/>
      <c r="H16" s="96" t="s">
        <v>289</v>
      </c>
      <c r="I16" s="96" t="s">
        <v>43</v>
      </c>
      <c r="J16" s="96" t="s">
        <v>904</v>
      </c>
    </row>
    <row r="17" spans="2:10" x14ac:dyDescent="0.3">
      <c r="B17" s="99">
        <v>14</v>
      </c>
      <c r="C17" s="96" t="s">
        <v>884</v>
      </c>
      <c r="D17" s="96" t="s">
        <v>286</v>
      </c>
      <c r="E17" s="96">
        <v>1002</v>
      </c>
      <c r="F17" s="96" t="s">
        <v>900</v>
      </c>
      <c r="G17" s="96"/>
      <c r="H17" s="96" t="s">
        <v>289</v>
      </c>
      <c r="I17" s="96" t="s">
        <v>883</v>
      </c>
      <c r="J17" s="96" t="s">
        <v>200</v>
      </c>
    </row>
    <row r="18" spans="2:10" x14ac:dyDescent="0.3">
      <c r="B18" s="99">
        <v>15</v>
      </c>
      <c r="C18" s="96" t="s">
        <v>884</v>
      </c>
      <c r="D18" s="96" t="s">
        <v>286</v>
      </c>
      <c r="E18" s="96">
        <v>1002</v>
      </c>
      <c r="F18" s="96" t="s">
        <v>900</v>
      </c>
      <c r="G18" s="96"/>
      <c r="H18" s="96" t="s">
        <v>289</v>
      </c>
      <c r="I18" s="96" t="s">
        <v>883</v>
      </c>
      <c r="J18" s="96" t="s">
        <v>398</v>
      </c>
    </row>
    <row r="19" spans="2:10" x14ac:dyDescent="0.3">
      <c r="B19" s="99">
        <v>16</v>
      </c>
      <c r="C19" s="96" t="s">
        <v>884</v>
      </c>
      <c r="D19" s="96" t="s">
        <v>286</v>
      </c>
      <c r="E19" s="96">
        <v>1002</v>
      </c>
      <c r="F19" s="96" t="s">
        <v>900</v>
      </c>
      <c r="G19" s="96"/>
      <c r="H19" s="96" t="s">
        <v>289</v>
      </c>
      <c r="I19" s="96" t="s">
        <v>883</v>
      </c>
      <c r="J19" s="96" t="s">
        <v>907</v>
      </c>
    </row>
    <row r="20" spans="2:10" x14ac:dyDescent="0.3">
      <c r="B20" s="99">
        <v>17</v>
      </c>
      <c r="C20" s="96" t="s">
        <v>884</v>
      </c>
      <c r="D20" s="96" t="s">
        <v>286</v>
      </c>
      <c r="E20" s="96">
        <v>1002</v>
      </c>
      <c r="F20" s="96" t="s">
        <v>900</v>
      </c>
      <c r="G20" s="96"/>
      <c r="H20" s="96" t="s">
        <v>289</v>
      </c>
      <c r="I20" s="96" t="s">
        <v>883</v>
      </c>
      <c r="J20" s="96" t="s">
        <v>106</v>
      </c>
    </row>
    <row r="21" spans="2:10" x14ac:dyDescent="0.3">
      <c r="B21" s="99">
        <v>18</v>
      </c>
      <c r="C21" s="96" t="s">
        <v>884</v>
      </c>
      <c r="D21" s="96" t="s">
        <v>286</v>
      </c>
      <c r="E21" s="96" t="s">
        <v>915</v>
      </c>
      <c r="F21" s="96" t="s">
        <v>900</v>
      </c>
      <c r="G21" s="96"/>
      <c r="H21" s="96" t="s">
        <v>289</v>
      </c>
      <c r="I21" s="96" t="s">
        <v>883</v>
      </c>
      <c r="J21" s="96" t="s">
        <v>908</v>
      </c>
    </row>
    <row r="22" spans="2:10" x14ac:dyDescent="0.3">
      <c r="B22" s="99">
        <v>19</v>
      </c>
      <c r="C22" s="96" t="s">
        <v>884</v>
      </c>
      <c r="D22" s="96" t="s">
        <v>286</v>
      </c>
      <c r="E22" s="96">
        <v>1002</v>
      </c>
      <c r="F22" s="96" t="s">
        <v>900</v>
      </c>
      <c r="G22" s="96"/>
      <c r="H22" s="96" t="s">
        <v>289</v>
      </c>
      <c r="I22" s="96" t="s">
        <v>883</v>
      </c>
      <c r="J22" s="96" t="s">
        <v>194</v>
      </c>
    </row>
    <row r="23" spans="2:10" x14ac:dyDescent="0.3">
      <c r="B23" s="99">
        <v>20</v>
      </c>
      <c r="C23" s="96" t="s">
        <v>884</v>
      </c>
      <c r="D23" s="96" t="s">
        <v>286</v>
      </c>
      <c r="E23" s="96">
        <v>1002</v>
      </c>
      <c r="F23" s="96" t="s">
        <v>900</v>
      </c>
      <c r="G23" s="96"/>
      <c r="H23" s="96" t="s">
        <v>289</v>
      </c>
      <c r="I23" s="96" t="s">
        <v>883</v>
      </c>
      <c r="J23" s="96" t="s">
        <v>194</v>
      </c>
    </row>
    <row r="24" spans="2:10" x14ac:dyDescent="0.3">
      <c r="B24" s="99">
        <v>21</v>
      </c>
      <c r="C24" s="96" t="s">
        <v>884</v>
      </c>
      <c r="D24" s="96" t="s">
        <v>286</v>
      </c>
      <c r="E24" s="96">
        <v>1002</v>
      </c>
      <c r="F24" s="96" t="s">
        <v>900</v>
      </c>
      <c r="G24" s="96"/>
      <c r="H24" s="96" t="s">
        <v>289</v>
      </c>
      <c r="I24" s="96" t="s">
        <v>883</v>
      </c>
      <c r="J24" s="96" t="s">
        <v>194</v>
      </c>
    </row>
    <row r="25" spans="2:10" x14ac:dyDescent="0.3">
      <c r="B25" s="99">
        <v>22</v>
      </c>
      <c r="C25" s="96" t="s">
        <v>884</v>
      </c>
      <c r="D25" s="96" t="s">
        <v>905</v>
      </c>
      <c r="E25" s="96"/>
      <c r="F25" s="96" t="s">
        <v>729</v>
      </c>
      <c r="G25" s="96"/>
      <c r="H25" s="96" t="s">
        <v>289</v>
      </c>
      <c r="I25" s="96" t="s">
        <v>43</v>
      </c>
      <c r="J25" s="96" t="s">
        <v>906</v>
      </c>
    </row>
    <row r="26" spans="2:10" x14ac:dyDescent="0.3">
      <c r="B26" s="99">
        <v>23</v>
      </c>
      <c r="C26" s="96" t="s">
        <v>909</v>
      </c>
      <c r="D26" s="96" t="s">
        <v>910</v>
      </c>
      <c r="E26" s="96" t="s">
        <v>913</v>
      </c>
      <c r="F26" s="96" t="s">
        <v>729</v>
      </c>
      <c r="G26" s="96" t="s">
        <v>911</v>
      </c>
      <c r="H26" s="96" t="s">
        <v>896</v>
      </c>
      <c r="I26" s="96" t="s">
        <v>43</v>
      </c>
      <c r="J26" s="96" t="s">
        <v>36</v>
      </c>
    </row>
    <row r="27" spans="2:10" x14ac:dyDescent="0.3">
      <c r="B27" s="99">
        <v>24</v>
      </c>
      <c r="C27" s="96" t="s">
        <v>912</v>
      </c>
      <c r="D27" s="96" t="s">
        <v>286</v>
      </c>
      <c r="E27" s="96"/>
      <c r="F27" s="96" t="s">
        <v>900</v>
      </c>
      <c r="G27" s="96"/>
      <c r="H27" s="96" t="s">
        <v>289</v>
      </c>
      <c r="I27" s="96" t="s">
        <v>43</v>
      </c>
      <c r="J27" s="96" t="s">
        <v>36</v>
      </c>
    </row>
    <row r="28" spans="2:10" x14ac:dyDescent="0.3">
      <c r="B28" s="99">
        <v>25</v>
      </c>
      <c r="C28" s="96" t="s">
        <v>884</v>
      </c>
      <c r="D28" s="96" t="s">
        <v>286</v>
      </c>
      <c r="E28" s="99">
        <v>1102</v>
      </c>
      <c r="F28" s="99"/>
      <c r="G28" s="99"/>
      <c r="H28" s="96" t="s">
        <v>289</v>
      </c>
      <c r="I28" s="96" t="s">
        <v>43</v>
      </c>
      <c r="J28" s="96" t="s">
        <v>917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A7E2-E8A8-4B9D-BEA9-72B32F303034}">
  <dimension ref="A1:Z41"/>
  <sheetViews>
    <sheetView workbookViewId="0">
      <selection activeCell="D2" sqref="D2:D41"/>
    </sheetView>
  </sheetViews>
  <sheetFormatPr defaultRowHeight="14.4" x14ac:dyDescent="0.3"/>
  <cols>
    <col min="1" max="1" width="3.33203125" bestFit="1" customWidth="1"/>
    <col min="2" max="2" width="32.44140625" bestFit="1" customWidth="1"/>
    <col min="3" max="3" width="19.109375" bestFit="1" customWidth="1"/>
    <col min="4" max="4" width="38.6640625" bestFit="1" customWidth="1"/>
    <col min="5" max="5" width="30" bestFit="1" customWidth="1"/>
    <col min="6" max="6" width="13.5546875" bestFit="1" customWidth="1"/>
    <col min="7" max="7" width="16.6640625" bestFit="1" customWidth="1"/>
    <col min="8" max="8" width="9.33203125" bestFit="1" customWidth="1"/>
    <col min="9" max="9" width="12.109375" bestFit="1" customWidth="1"/>
    <col min="10" max="10" width="15.5546875" bestFit="1" customWidth="1"/>
    <col min="11" max="11" width="18.109375" bestFit="1" customWidth="1"/>
    <col min="12" max="12" width="12.109375" bestFit="1" customWidth="1"/>
    <col min="13" max="13" width="18.5546875" bestFit="1" customWidth="1"/>
    <col min="14" max="14" width="12.109375" bestFit="1" customWidth="1"/>
    <col min="15" max="15" width="17.44140625" bestFit="1" customWidth="1"/>
    <col min="16" max="16" width="24.88671875" bestFit="1" customWidth="1"/>
    <col min="17" max="17" width="13.88671875" bestFit="1" customWidth="1"/>
    <col min="18" max="19" width="16.109375" bestFit="1" customWidth="1"/>
    <col min="20" max="20" width="22.44140625" bestFit="1" customWidth="1"/>
    <col min="21" max="21" width="8.6640625" bestFit="1" customWidth="1"/>
    <col min="22" max="22" width="9.6640625" bestFit="1" customWidth="1"/>
    <col min="23" max="23" width="9.109375" bestFit="1" customWidth="1"/>
    <col min="24" max="24" width="10.109375" bestFit="1" customWidth="1"/>
  </cols>
  <sheetData>
    <row r="1" spans="1:26" x14ac:dyDescent="0.3">
      <c r="A1" t="s">
        <v>320</v>
      </c>
      <c r="B1" s="4" t="s">
        <v>46</v>
      </c>
      <c r="C1" s="4" t="s">
        <v>48</v>
      </c>
      <c r="D1" s="4" t="s">
        <v>50</v>
      </c>
      <c r="E1" s="4" t="s">
        <v>60</v>
      </c>
      <c r="F1" s="4" t="s">
        <v>272</v>
      </c>
      <c r="G1" s="4" t="s">
        <v>82</v>
      </c>
      <c r="H1" s="4" t="s">
        <v>706</v>
      </c>
      <c r="I1" s="4" t="s">
        <v>34</v>
      </c>
      <c r="J1" s="4" t="s">
        <v>27</v>
      </c>
      <c r="K1" s="4" t="s">
        <v>52</v>
      </c>
      <c r="L1" s="4" t="s">
        <v>2</v>
      </c>
      <c r="M1" s="4" t="s">
        <v>3</v>
      </c>
      <c r="N1" s="4" t="s">
        <v>34</v>
      </c>
      <c r="O1" s="4" t="s">
        <v>116</v>
      </c>
      <c r="P1" s="4" t="s">
        <v>117</v>
      </c>
      <c r="Q1" s="4" t="s">
        <v>4</v>
      </c>
      <c r="R1" s="4" t="s">
        <v>56</v>
      </c>
      <c r="S1" s="4" t="s">
        <v>57</v>
      </c>
      <c r="T1" s="4" t="s">
        <v>80</v>
      </c>
      <c r="U1" s="4" t="s">
        <v>85</v>
      </c>
      <c r="V1" s="4" t="s">
        <v>86</v>
      </c>
      <c r="W1" s="4" t="s">
        <v>87</v>
      </c>
      <c r="X1" s="4" t="s">
        <v>88</v>
      </c>
    </row>
    <row r="2" spans="1:26" x14ac:dyDescent="0.3">
      <c r="A2" s="34"/>
      <c r="B2" s="34" t="s">
        <v>47</v>
      </c>
      <c r="C2" s="34" t="s">
        <v>49</v>
      </c>
      <c r="D2" s="34" t="s">
        <v>10</v>
      </c>
      <c r="E2" s="34"/>
      <c r="F2" s="34"/>
      <c r="G2" s="34"/>
      <c r="H2" s="34"/>
      <c r="I2" s="34"/>
      <c r="J2" s="34" t="s">
        <v>199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6" x14ac:dyDescent="0.3">
      <c r="A3">
        <v>1</v>
      </c>
      <c r="B3" s="18" t="s">
        <v>62</v>
      </c>
      <c r="C3" s="18" t="s">
        <v>49</v>
      </c>
      <c r="D3" s="18" t="s">
        <v>59</v>
      </c>
      <c r="E3" s="18" t="s">
        <v>61</v>
      </c>
      <c r="F3" s="18" t="s">
        <v>51</v>
      </c>
      <c r="G3" s="18" t="s">
        <v>83</v>
      </c>
      <c r="H3" s="18" t="s">
        <v>203</v>
      </c>
      <c r="I3" s="18"/>
      <c r="J3" s="18" t="s">
        <v>30</v>
      </c>
      <c r="K3" s="18" t="s">
        <v>53</v>
      </c>
      <c r="L3" s="18" t="s">
        <v>16</v>
      </c>
      <c r="M3" s="18" t="s">
        <v>54</v>
      </c>
      <c r="N3" s="18" t="s">
        <v>67</v>
      </c>
      <c r="O3" s="18"/>
      <c r="P3" s="18"/>
      <c r="Q3" s="18" t="s">
        <v>55</v>
      </c>
      <c r="R3" s="30" t="s">
        <v>58</v>
      </c>
      <c r="S3" s="30" t="s">
        <v>322</v>
      </c>
      <c r="T3" s="30"/>
      <c r="U3" s="18"/>
      <c r="V3" s="18"/>
      <c r="W3" s="18"/>
      <c r="X3" s="18"/>
    </row>
    <row r="4" spans="1:26" x14ac:dyDescent="0.3">
      <c r="A4" s="32">
        <v>2</v>
      </c>
      <c r="B4" s="32" t="s">
        <v>89</v>
      </c>
      <c r="C4" s="32" t="s">
        <v>49</v>
      </c>
      <c r="D4" s="32" t="s">
        <v>78</v>
      </c>
      <c r="E4" s="32"/>
      <c r="F4" s="32" t="s">
        <v>90</v>
      </c>
      <c r="G4" s="32" t="s">
        <v>84</v>
      </c>
      <c r="H4" s="32" t="s">
        <v>203</v>
      </c>
      <c r="I4" s="32"/>
      <c r="J4" s="32" t="s">
        <v>79</v>
      </c>
      <c r="K4" s="32" t="s">
        <v>53</v>
      </c>
      <c r="L4" s="32" t="s">
        <v>16</v>
      </c>
      <c r="M4" s="32" t="s">
        <v>54</v>
      </c>
      <c r="N4" s="32" t="s">
        <v>67</v>
      </c>
      <c r="O4" s="32" t="s">
        <v>115</v>
      </c>
      <c r="P4" s="32" t="s">
        <v>118</v>
      </c>
      <c r="Q4" s="33" t="s">
        <v>111</v>
      </c>
      <c r="R4" s="33" t="s">
        <v>112</v>
      </c>
      <c r="S4" s="33" t="s">
        <v>113</v>
      </c>
      <c r="T4" s="33" t="s">
        <v>81</v>
      </c>
      <c r="U4" s="33">
        <v>3636</v>
      </c>
      <c r="V4" s="33">
        <v>9990</v>
      </c>
      <c r="W4" s="33">
        <v>80187971</v>
      </c>
      <c r="X4" s="33">
        <v>60946214</v>
      </c>
    </row>
    <row r="5" spans="1:26" x14ac:dyDescent="0.3">
      <c r="A5">
        <v>3</v>
      </c>
      <c r="B5" s="18" t="s">
        <v>103</v>
      </c>
      <c r="C5" s="30" t="s">
        <v>49</v>
      </c>
      <c r="D5" s="18" t="s">
        <v>105</v>
      </c>
      <c r="E5" s="18"/>
      <c r="F5" s="18" t="s">
        <v>104</v>
      </c>
      <c r="G5" s="18" t="s">
        <v>84</v>
      </c>
      <c r="H5" s="18" t="s">
        <v>203</v>
      </c>
      <c r="I5" s="18"/>
      <c r="J5" s="18" t="s">
        <v>106</v>
      </c>
      <c r="K5" s="18" t="s">
        <v>53</v>
      </c>
      <c r="L5" s="18" t="s">
        <v>16</v>
      </c>
      <c r="M5" s="18" t="s">
        <v>54</v>
      </c>
      <c r="N5" s="18" t="s">
        <v>67</v>
      </c>
      <c r="O5" s="18" t="s">
        <v>119</v>
      </c>
      <c r="P5" s="18" t="s">
        <v>114</v>
      </c>
      <c r="Q5" s="30" t="s">
        <v>108</v>
      </c>
      <c r="R5" s="30" t="s">
        <v>109</v>
      </c>
      <c r="S5" s="30" t="s">
        <v>110</v>
      </c>
      <c r="T5" s="30" t="s">
        <v>107</v>
      </c>
      <c r="U5" s="30">
        <v>3636</v>
      </c>
      <c r="V5" s="30" t="s">
        <v>230</v>
      </c>
      <c r="W5" s="30">
        <v>58157965</v>
      </c>
      <c r="X5" s="30">
        <v>47812073</v>
      </c>
    </row>
    <row r="6" spans="1:26" ht="57.6" x14ac:dyDescent="0.3">
      <c r="A6" s="89">
        <v>4</v>
      </c>
      <c r="B6" s="45" t="s">
        <v>323</v>
      </c>
      <c r="C6" s="46" t="s">
        <v>411</v>
      </c>
      <c r="D6" s="39" t="s">
        <v>303</v>
      </c>
      <c r="E6" s="32"/>
      <c r="F6" s="38" t="s">
        <v>319</v>
      </c>
      <c r="G6" s="38" t="s">
        <v>84</v>
      </c>
      <c r="H6" s="38" t="s">
        <v>203</v>
      </c>
      <c r="I6" s="38"/>
      <c r="J6" s="38" t="s">
        <v>202</v>
      </c>
      <c r="K6" s="38" t="s">
        <v>53</v>
      </c>
      <c r="L6" s="47" t="s">
        <v>521</v>
      </c>
      <c r="M6" s="45" t="s">
        <v>522</v>
      </c>
      <c r="N6" s="38" t="s">
        <v>67</v>
      </c>
      <c r="O6" s="45" t="s">
        <v>523</v>
      </c>
      <c r="P6" s="38" t="s">
        <v>321</v>
      </c>
      <c r="Q6" s="48" t="s">
        <v>524</v>
      </c>
      <c r="R6" s="48" t="s">
        <v>525</v>
      </c>
      <c r="S6" s="48" t="s">
        <v>526</v>
      </c>
      <c r="T6" s="48" t="s">
        <v>315</v>
      </c>
      <c r="U6" s="40" t="s">
        <v>155</v>
      </c>
      <c r="V6" s="40" t="s">
        <v>316</v>
      </c>
      <c r="W6" s="40" t="s">
        <v>317</v>
      </c>
      <c r="X6" s="40" t="s">
        <v>318</v>
      </c>
    </row>
    <row r="7" spans="1:26" x14ac:dyDescent="0.3">
      <c r="A7">
        <v>5</v>
      </c>
      <c r="B7" s="18" t="s">
        <v>324</v>
      </c>
      <c r="C7" s="88" t="s">
        <v>49</v>
      </c>
      <c r="D7" s="26" t="s">
        <v>340</v>
      </c>
      <c r="E7" s="18"/>
      <c r="F7" s="22" t="s">
        <v>334</v>
      </c>
      <c r="G7" s="22" t="s">
        <v>84</v>
      </c>
      <c r="H7" s="22" t="s">
        <v>203</v>
      </c>
      <c r="I7" s="22"/>
      <c r="J7" s="22" t="s">
        <v>36</v>
      </c>
      <c r="K7" s="22" t="s">
        <v>53</v>
      </c>
      <c r="L7" s="22" t="s">
        <v>16</v>
      </c>
      <c r="M7" s="22" t="s">
        <v>54</v>
      </c>
      <c r="N7" s="22" t="s">
        <v>67</v>
      </c>
      <c r="O7" s="22" t="s">
        <v>338</v>
      </c>
      <c r="P7" s="22" t="s">
        <v>339</v>
      </c>
      <c r="Q7" s="77" t="s">
        <v>335</v>
      </c>
      <c r="R7" s="77" t="s">
        <v>336</v>
      </c>
      <c r="S7" s="77" t="s">
        <v>337</v>
      </c>
      <c r="T7" s="77" t="s">
        <v>328</v>
      </c>
      <c r="U7" s="77" t="s">
        <v>155</v>
      </c>
      <c r="V7" s="77" t="s">
        <v>325</v>
      </c>
      <c r="W7" s="77" t="s">
        <v>326</v>
      </c>
      <c r="X7" s="77" t="s">
        <v>327</v>
      </c>
    </row>
    <row r="8" spans="1:26" x14ac:dyDescent="0.3">
      <c r="A8" s="68">
        <v>6</v>
      </c>
      <c r="B8" s="68" t="s">
        <v>220</v>
      </c>
      <c r="C8" s="69" t="s">
        <v>49</v>
      </c>
      <c r="D8" s="68" t="s">
        <v>10</v>
      </c>
      <c r="E8" s="68"/>
      <c r="F8" s="68" t="s">
        <v>341</v>
      </c>
      <c r="G8" s="68" t="s">
        <v>84</v>
      </c>
      <c r="H8" s="68" t="s">
        <v>203</v>
      </c>
      <c r="I8" s="68"/>
      <c r="J8" s="68" t="s">
        <v>199</v>
      </c>
      <c r="K8" s="68" t="s">
        <v>53</v>
      </c>
      <c r="L8" s="68" t="s">
        <v>16</v>
      </c>
      <c r="M8" s="68" t="s">
        <v>225</v>
      </c>
      <c r="N8" s="68" t="s">
        <v>67</v>
      </c>
      <c r="O8" s="65" t="s">
        <v>692</v>
      </c>
      <c r="P8" s="68" t="s">
        <v>693</v>
      </c>
      <c r="Q8" s="69" t="s">
        <v>342</v>
      </c>
      <c r="R8" s="69" t="s">
        <v>343</v>
      </c>
      <c r="S8" s="69" t="s">
        <v>343</v>
      </c>
      <c r="T8" s="69" t="s">
        <v>332</v>
      </c>
      <c r="U8" s="69" t="s">
        <v>155</v>
      </c>
      <c r="V8" s="69" t="s">
        <v>329</v>
      </c>
      <c r="W8" s="69" t="s">
        <v>330</v>
      </c>
      <c r="X8" s="69" t="s">
        <v>331</v>
      </c>
    </row>
    <row r="9" spans="1:26" x14ac:dyDescent="0.3">
      <c r="A9">
        <v>7</v>
      </c>
      <c r="B9" s="18" t="s">
        <v>222</v>
      </c>
      <c r="C9" s="30" t="s">
        <v>49</v>
      </c>
      <c r="D9" s="18" t="s">
        <v>223</v>
      </c>
      <c r="E9" s="18" t="s">
        <v>121</v>
      </c>
      <c r="F9" s="18" t="s">
        <v>224</v>
      </c>
      <c r="G9" s="18" t="s">
        <v>84</v>
      </c>
      <c r="H9" s="18" t="s">
        <v>203</v>
      </c>
      <c r="I9" s="18"/>
      <c r="J9" s="18" t="s">
        <v>29</v>
      </c>
      <c r="K9" s="18" t="s">
        <v>53</v>
      </c>
      <c r="L9" s="18" t="s">
        <v>16</v>
      </c>
      <c r="M9" s="18" t="s">
        <v>225</v>
      </c>
      <c r="N9" s="18" t="s">
        <v>67</v>
      </c>
      <c r="O9" s="18" t="s">
        <v>238</v>
      </c>
      <c r="P9" s="18" t="s">
        <v>239</v>
      </c>
      <c r="Q9" s="30" t="s">
        <v>235</v>
      </c>
      <c r="R9" s="30" t="s">
        <v>236</v>
      </c>
      <c r="S9" s="30" t="s">
        <v>237</v>
      </c>
      <c r="T9" s="30" t="s">
        <v>229</v>
      </c>
      <c r="U9" s="30" t="s">
        <v>155</v>
      </c>
      <c r="V9" s="30" t="s">
        <v>226</v>
      </c>
      <c r="W9" s="30" t="s">
        <v>227</v>
      </c>
      <c r="X9" s="30" t="s">
        <v>228</v>
      </c>
    </row>
    <row r="10" spans="1:26" x14ac:dyDescent="0.3">
      <c r="A10" s="38">
        <v>8</v>
      </c>
      <c r="B10" s="32" t="s">
        <v>240</v>
      </c>
      <c r="C10" s="33" t="s">
        <v>49</v>
      </c>
      <c r="D10" s="32" t="s">
        <v>284</v>
      </c>
      <c r="E10" s="32"/>
      <c r="F10" s="32" t="s">
        <v>243</v>
      </c>
      <c r="G10" s="32" t="s">
        <v>84</v>
      </c>
      <c r="H10" s="32" t="s">
        <v>203</v>
      </c>
      <c r="I10" s="32"/>
      <c r="J10" s="32" t="s">
        <v>29</v>
      </c>
      <c r="K10" s="32" t="s">
        <v>53</v>
      </c>
      <c r="L10" s="32" t="s">
        <v>16</v>
      </c>
      <c r="M10" s="32" t="s">
        <v>225</v>
      </c>
      <c r="N10" s="32" t="s">
        <v>67</v>
      </c>
      <c r="O10" s="32" t="s">
        <v>245</v>
      </c>
      <c r="P10" s="32" t="s">
        <v>246</v>
      </c>
      <c r="Q10" s="33" t="s">
        <v>247</v>
      </c>
      <c r="R10" s="33" t="s">
        <v>248</v>
      </c>
      <c r="S10" s="33" t="s">
        <v>249</v>
      </c>
      <c r="T10" s="33" t="s">
        <v>260</v>
      </c>
      <c r="U10" s="33" t="s">
        <v>155</v>
      </c>
      <c r="V10" s="33" t="s">
        <v>261</v>
      </c>
      <c r="W10" s="33" t="s">
        <v>262</v>
      </c>
      <c r="X10" s="33" t="s">
        <v>263</v>
      </c>
      <c r="Y10" s="31"/>
      <c r="Z10" s="31"/>
    </row>
    <row r="11" spans="1:26" x14ac:dyDescent="0.3">
      <c r="A11">
        <v>9</v>
      </c>
      <c r="B11" s="18" t="s">
        <v>241</v>
      </c>
      <c r="C11" s="30" t="s">
        <v>49</v>
      </c>
      <c r="D11" s="18" t="s">
        <v>76</v>
      </c>
      <c r="E11" s="18"/>
      <c r="F11" s="18" t="s">
        <v>244</v>
      </c>
      <c r="G11" s="18" t="s">
        <v>84</v>
      </c>
      <c r="H11" s="18" t="s">
        <v>203</v>
      </c>
      <c r="I11" s="18"/>
      <c r="J11" s="18" t="s">
        <v>79</v>
      </c>
      <c r="K11" s="18" t="s">
        <v>53</v>
      </c>
      <c r="L11" s="18" t="s">
        <v>16</v>
      </c>
      <c r="M11" s="18" t="s">
        <v>225</v>
      </c>
      <c r="N11" s="18" t="s">
        <v>67</v>
      </c>
      <c r="O11" s="18" t="s">
        <v>250</v>
      </c>
      <c r="P11" s="18" t="s">
        <v>251</v>
      </c>
      <c r="Q11" s="30" t="s">
        <v>252</v>
      </c>
      <c r="R11" s="30" t="s">
        <v>253</v>
      </c>
      <c r="S11" s="30" t="s">
        <v>254</v>
      </c>
      <c r="T11" s="30" t="s">
        <v>264</v>
      </c>
      <c r="U11" s="30" t="s">
        <v>155</v>
      </c>
      <c r="V11" s="30" t="s">
        <v>265</v>
      </c>
      <c r="W11" s="30" t="s">
        <v>266</v>
      </c>
      <c r="X11" s="30" t="s">
        <v>267</v>
      </c>
      <c r="Y11" s="31"/>
      <c r="Z11" s="31"/>
    </row>
    <row r="12" spans="1:26" x14ac:dyDescent="0.3">
      <c r="A12" s="38">
        <v>10</v>
      </c>
      <c r="B12" s="32" t="s">
        <v>242</v>
      </c>
      <c r="C12" s="33" t="s">
        <v>49</v>
      </c>
      <c r="D12" s="32" t="s">
        <v>283</v>
      </c>
      <c r="E12" s="32"/>
      <c r="F12" s="32" t="s">
        <v>282</v>
      </c>
      <c r="G12" s="32" t="s">
        <v>84</v>
      </c>
      <c r="H12" s="32" t="s">
        <v>203</v>
      </c>
      <c r="I12" s="32"/>
      <c r="J12" s="32" t="s">
        <v>31</v>
      </c>
      <c r="K12" s="32" t="s">
        <v>53</v>
      </c>
      <c r="L12" s="32" t="s">
        <v>16</v>
      </c>
      <c r="M12" s="32" t="s">
        <v>225</v>
      </c>
      <c r="N12" s="32" t="s">
        <v>67</v>
      </c>
      <c r="O12" s="32" t="s">
        <v>255</v>
      </c>
      <c r="P12" s="32" t="s">
        <v>256</v>
      </c>
      <c r="Q12" s="33" t="s">
        <v>257</v>
      </c>
      <c r="R12" s="33" t="s">
        <v>259</v>
      </c>
      <c r="S12" s="33" t="s">
        <v>258</v>
      </c>
      <c r="T12" s="33" t="s">
        <v>268</v>
      </c>
      <c r="U12" s="33" t="s">
        <v>155</v>
      </c>
      <c r="V12" s="33" t="s">
        <v>269</v>
      </c>
      <c r="W12" s="33" t="s">
        <v>270</v>
      </c>
      <c r="X12" s="33" t="s">
        <v>271</v>
      </c>
    </row>
    <row r="13" spans="1:26" ht="28.8" x14ac:dyDescent="0.3">
      <c r="A13" s="6">
        <v>11</v>
      </c>
      <c r="B13" s="26" t="s">
        <v>294</v>
      </c>
      <c r="C13" s="36" t="s">
        <v>49</v>
      </c>
      <c r="D13" s="35" t="s">
        <v>691</v>
      </c>
      <c r="E13" s="18"/>
      <c r="F13" s="26" t="s">
        <v>149</v>
      </c>
      <c r="G13" s="26" t="s">
        <v>84</v>
      </c>
      <c r="H13" s="26" t="s">
        <v>203</v>
      </c>
      <c r="I13" s="26"/>
      <c r="J13" s="26" t="s">
        <v>28</v>
      </c>
      <c r="K13" s="26" t="s">
        <v>53</v>
      </c>
      <c r="L13" s="26" t="s">
        <v>16</v>
      </c>
      <c r="M13" s="26" t="s">
        <v>225</v>
      </c>
      <c r="N13" s="26" t="s">
        <v>67</v>
      </c>
      <c r="O13" s="26" t="s">
        <v>153</v>
      </c>
      <c r="P13" s="26" t="s">
        <v>154</v>
      </c>
      <c r="Q13" s="36" t="s">
        <v>150</v>
      </c>
      <c r="R13" s="36" t="s">
        <v>151</v>
      </c>
      <c r="S13" s="36" t="s">
        <v>152</v>
      </c>
      <c r="T13" s="36" t="s">
        <v>159</v>
      </c>
      <c r="U13" s="36" t="s">
        <v>155</v>
      </c>
      <c r="V13" s="36" t="s">
        <v>156</v>
      </c>
      <c r="W13" s="36" t="s">
        <v>157</v>
      </c>
      <c r="X13" s="36" t="s">
        <v>158</v>
      </c>
    </row>
    <row r="14" spans="1:26" x14ac:dyDescent="0.3">
      <c r="A14" s="34"/>
      <c r="B14" s="34" t="s">
        <v>147</v>
      </c>
      <c r="C14" s="42" t="s">
        <v>49</v>
      </c>
      <c r="D14" s="43" t="s">
        <v>10</v>
      </c>
      <c r="E14" s="3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2"/>
      <c r="R14" s="42"/>
      <c r="S14" s="42"/>
      <c r="T14" s="42"/>
      <c r="U14" s="42"/>
      <c r="V14" s="42"/>
      <c r="W14" s="42"/>
      <c r="X14" s="42"/>
    </row>
    <row r="15" spans="1:26" x14ac:dyDescent="0.3">
      <c r="A15">
        <v>12</v>
      </c>
      <c r="B15" s="18" t="s">
        <v>333</v>
      </c>
      <c r="C15" s="36" t="s">
        <v>49</v>
      </c>
      <c r="D15" s="35" t="s">
        <v>196</v>
      </c>
      <c r="E15" s="18"/>
      <c r="F15" s="26" t="s">
        <v>221</v>
      </c>
      <c r="G15" s="26" t="s">
        <v>84</v>
      </c>
      <c r="H15" s="26" t="s">
        <v>203</v>
      </c>
      <c r="I15" s="26"/>
      <c r="J15" s="26" t="s">
        <v>200</v>
      </c>
      <c r="K15" s="26" t="s">
        <v>53</v>
      </c>
      <c r="L15" s="26" t="s">
        <v>16</v>
      </c>
      <c r="M15" s="26" t="s">
        <v>225</v>
      </c>
      <c r="N15" s="26" t="s">
        <v>67</v>
      </c>
      <c r="O15" s="26"/>
      <c r="P15" s="26"/>
      <c r="Q15" s="36"/>
      <c r="R15" s="36"/>
      <c r="S15" s="36"/>
      <c r="T15" s="36" t="s">
        <v>234</v>
      </c>
      <c r="U15" s="36" t="s">
        <v>155</v>
      </c>
      <c r="V15" s="36" t="s">
        <v>231</v>
      </c>
      <c r="W15" s="36" t="s">
        <v>232</v>
      </c>
      <c r="X15" s="36" t="s">
        <v>233</v>
      </c>
    </row>
    <row r="16" spans="1:26" x14ac:dyDescent="0.3">
      <c r="A16" s="32">
        <v>13</v>
      </c>
      <c r="B16" s="32" t="s">
        <v>504</v>
      </c>
      <c r="C16" s="71" t="s">
        <v>49</v>
      </c>
      <c r="D16" s="47" t="s">
        <v>185</v>
      </c>
      <c r="E16" s="32"/>
      <c r="F16" s="39" t="s">
        <v>499</v>
      </c>
      <c r="G16" s="39" t="s">
        <v>83</v>
      </c>
      <c r="H16" s="39" t="s">
        <v>203</v>
      </c>
      <c r="I16" s="39"/>
      <c r="J16" s="39" t="s">
        <v>496</v>
      </c>
      <c r="K16" s="39" t="s">
        <v>53</v>
      </c>
      <c r="L16" s="39" t="s">
        <v>16</v>
      </c>
      <c r="M16" s="39" t="s">
        <v>225</v>
      </c>
      <c r="N16" s="39" t="s">
        <v>67</v>
      </c>
      <c r="O16" s="39" t="s">
        <v>519</v>
      </c>
      <c r="P16" s="39" t="s">
        <v>520</v>
      </c>
      <c r="Q16" s="71" t="s">
        <v>497</v>
      </c>
      <c r="R16" s="71" t="s">
        <v>498</v>
      </c>
      <c r="S16" s="71" t="s">
        <v>505</v>
      </c>
      <c r="T16" s="71" t="s">
        <v>500</v>
      </c>
      <c r="U16" s="71" t="s">
        <v>501</v>
      </c>
      <c r="V16" s="71" t="s">
        <v>512</v>
      </c>
      <c r="W16" s="71" t="s">
        <v>502</v>
      </c>
      <c r="X16" s="71" t="s">
        <v>503</v>
      </c>
    </row>
    <row r="17" spans="1:25" x14ac:dyDescent="0.3">
      <c r="A17">
        <v>14</v>
      </c>
      <c r="B17" s="18" t="s">
        <v>507</v>
      </c>
      <c r="C17" s="12" t="s">
        <v>49</v>
      </c>
      <c r="D17" s="35" t="s">
        <v>506</v>
      </c>
      <c r="E17" s="18"/>
      <c r="F17" s="26" t="s">
        <v>513</v>
      </c>
      <c r="G17" s="26" t="s">
        <v>83</v>
      </c>
      <c r="H17" s="26" t="s">
        <v>203</v>
      </c>
      <c r="I17" s="26"/>
      <c r="J17" s="26" t="s">
        <v>496</v>
      </c>
      <c r="K17" s="26" t="s">
        <v>53</v>
      </c>
      <c r="L17" s="26" t="s">
        <v>16</v>
      </c>
      <c r="M17" s="26" t="s">
        <v>225</v>
      </c>
      <c r="N17" s="26" t="s">
        <v>67</v>
      </c>
      <c r="O17" s="26" t="s">
        <v>517</v>
      </c>
      <c r="P17" s="26" t="s">
        <v>518</v>
      </c>
      <c r="Q17" s="12" t="s">
        <v>514</v>
      </c>
      <c r="R17" s="12" t="s">
        <v>515</v>
      </c>
      <c r="S17" s="12" t="s">
        <v>516</v>
      </c>
      <c r="T17" s="12" t="s">
        <v>511</v>
      </c>
      <c r="U17" s="12" t="s">
        <v>501</v>
      </c>
      <c r="V17" s="12" t="s">
        <v>508</v>
      </c>
      <c r="W17" s="12" t="s">
        <v>509</v>
      </c>
      <c r="X17" s="12" t="s">
        <v>510</v>
      </c>
    </row>
    <row r="18" spans="1:25" x14ac:dyDescent="0.3">
      <c r="A18" s="32">
        <v>15</v>
      </c>
      <c r="B18" s="32" t="s">
        <v>653</v>
      </c>
      <c r="C18" s="33" t="s">
        <v>49</v>
      </c>
      <c r="D18" s="47" t="s">
        <v>667</v>
      </c>
      <c r="E18" s="32"/>
      <c r="F18" s="39" t="s">
        <v>535</v>
      </c>
      <c r="G18" s="39" t="s">
        <v>83</v>
      </c>
      <c r="H18" s="39" t="s">
        <v>203</v>
      </c>
      <c r="I18" s="39"/>
      <c r="J18" s="39" t="s">
        <v>194</v>
      </c>
      <c r="K18" s="39" t="s">
        <v>53</v>
      </c>
      <c r="L18" s="39" t="s">
        <v>16</v>
      </c>
      <c r="M18" s="39" t="s">
        <v>654</v>
      </c>
      <c r="N18" s="39" t="s">
        <v>67</v>
      </c>
      <c r="O18" s="39" t="s">
        <v>658</v>
      </c>
      <c r="P18" s="39" t="s">
        <v>659</v>
      </c>
      <c r="Q18" s="33" t="s">
        <v>657</v>
      </c>
      <c r="R18" s="33" t="s">
        <v>655</v>
      </c>
      <c r="S18" s="33" t="s">
        <v>656</v>
      </c>
      <c r="T18" s="33" t="s">
        <v>670</v>
      </c>
      <c r="U18" s="33" t="s">
        <v>501</v>
      </c>
      <c r="V18" s="33" t="s">
        <v>671</v>
      </c>
      <c r="W18" s="33" t="s">
        <v>672</v>
      </c>
      <c r="X18" s="33" t="s">
        <v>673</v>
      </c>
    </row>
    <row r="19" spans="1:25" x14ac:dyDescent="0.3">
      <c r="A19">
        <v>16</v>
      </c>
      <c r="B19" s="18" t="s">
        <v>686</v>
      </c>
      <c r="C19" s="12" t="s">
        <v>49</v>
      </c>
      <c r="D19" s="67" t="s">
        <v>143</v>
      </c>
      <c r="F19" s="31" t="s">
        <v>531</v>
      </c>
      <c r="G19" s="26" t="s">
        <v>83</v>
      </c>
      <c r="H19" s="26" t="s">
        <v>203</v>
      </c>
      <c r="I19" s="26"/>
      <c r="J19" t="s">
        <v>496</v>
      </c>
      <c r="K19" t="s">
        <v>53</v>
      </c>
      <c r="L19" t="s">
        <v>16</v>
      </c>
      <c r="M19" t="s">
        <v>654</v>
      </c>
      <c r="N19" t="s">
        <v>67</v>
      </c>
      <c r="O19" t="s">
        <v>689</v>
      </c>
      <c r="P19" t="s">
        <v>690</v>
      </c>
      <c r="Q19" s="12" t="s">
        <v>685</v>
      </c>
      <c r="R19" s="12" t="s">
        <v>687</v>
      </c>
      <c r="S19" s="12" t="s">
        <v>688</v>
      </c>
      <c r="T19" s="12"/>
      <c r="U19" s="12"/>
      <c r="V19" s="12"/>
      <c r="W19" s="12"/>
      <c r="X19" s="12"/>
    </row>
    <row r="20" spans="1:25" x14ac:dyDescent="0.3">
      <c r="A20" s="32">
        <v>17</v>
      </c>
      <c r="B20" s="32"/>
      <c r="C20" s="33"/>
      <c r="D20" s="84" t="s">
        <v>549</v>
      </c>
      <c r="E20" s="32"/>
      <c r="F20" s="32" t="s">
        <v>527</v>
      </c>
      <c r="G20" s="39" t="s">
        <v>83</v>
      </c>
      <c r="H20" s="39"/>
      <c r="I20" s="39"/>
      <c r="J20" s="39" t="s">
        <v>148</v>
      </c>
      <c r="K20" s="32"/>
      <c r="L20" s="32"/>
      <c r="M20" s="32"/>
      <c r="N20" s="32"/>
      <c r="O20" s="32"/>
      <c r="P20" s="32"/>
      <c r="Q20" s="33"/>
      <c r="R20" s="33"/>
      <c r="S20" s="33"/>
      <c r="T20" s="33"/>
      <c r="U20" s="33"/>
      <c r="V20" s="33"/>
      <c r="W20" s="33"/>
      <c r="X20" s="33"/>
    </row>
    <row r="21" spans="1:25" x14ac:dyDescent="0.3">
      <c r="A21">
        <v>18</v>
      </c>
      <c r="C21" s="12"/>
      <c r="D21" s="67" t="s">
        <v>790</v>
      </c>
      <c r="F21" s="31" t="s">
        <v>528</v>
      </c>
      <c r="G21" s="26" t="s">
        <v>83</v>
      </c>
      <c r="H21" s="26" t="s">
        <v>203</v>
      </c>
      <c r="I21" s="26"/>
      <c r="J21" s="26" t="s">
        <v>496</v>
      </c>
      <c r="Q21" s="12"/>
      <c r="R21" s="12"/>
      <c r="S21" s="12"/>
      <c r="T21" s="12"/>
      <c r="U21" s="12"/>
      <c r="V21" s="12"/>
      <c r="W21" s="12"/>
      <c r="X21" s="12"/>
    </row>
    <row r="22" spans="1:25" x14ac:dyDescent="0.3">
      <c r="A22" s="32">
        <v>19</v>
      </c>
      <c r="B22" s="32"/>
      <c r="C22" s="85"/>
      <c r="D22" s="84" t="s">
        <v>791</v>
      </c>
      <c r="E22" s="32"/>
      <c r="F22" s="32" t="s">
        <v>529</v>
      </c>
      <c r="G22" s="39" t="s">
        <v>83</v>
      </c>
      <c r="H22" s="39" t="s">
        <v>203</v>
      </c>
      <c r="I22" s="39"/>
      <c r="J22" s="32" t="s">
        <v>496</v>
      </c>
      <c r="K22" s="32"/>
      <c r="L22" s="32"/>
      <c r="M22" s="32"/>
      <c r="N22" s="32"/>
      <c r="O22" s="32"/>
      <c r="P22" s="32"/>
      <c r="Q22" s="33"/>
      <c r="R22" s="33"/>
      <c r="S22" s="33"/>
      <c r="T22" s="33"/>
      <c r="U22" s="33"/>
      <c r="V22" s="33"/>
      <c r="W22" s="33"/>
      <c r="X22" s="33"/>
      <c r="Y22" s="31"/>
    </row>
    <row r="23" spans="1:25" x14ac:dyDescent="0.3">
      <c r="A23">
        <v>20</v>
      </c>
      <c r="C23" s="12"/>
      <c r="D23" s="67" t="s">
        <v>792</v>
      </c>
      <c r="F23" s="31" t="s">
        <v>530</v>
      </c>
      <c r="G23" s="26" t="s">
        <v>83</v>
      </c>
      <c r="H23" s="26" t="s">
        <v>203</v>
      </c>
      <c r="I23" s="26"/>
      <c r="J23" s="26" t="s">
        <v>496</v>
      </c>
      <c r="Q23" s="12"/>
      <c r="R23" s="12"/>
      <c r="S23" s="12"/>
      <c r="T23" s="12"/>
      <c r="U23" s="12"/>
      <c r="V23" s="12"/>
      <c r="W23" s="12"/>
      <c r="X23" s="12"/>
    </row>
    <row r="24" spans="1:25" x14ac:dyDescent="0.3">
      <c r="A24" s="32">
        <v>21</v>
      </c>
      <c r="B24" s="32"/>
      <c r="C24" s="33"/>
      <c r="D24" s="84" t="s">
        <v>793</v>
      </c>
      <c r="E24" s="32"/>
      <c r="F24" s="32" t="s">
        <v>532</v>
      </c>
      <c r="G24" s="39" t="s">
        <v>83</v>
      </c>
      <c r="H24" s="39"/>
      <c r="I24" s="39" t="s">
        <v>805</v>
      </c>
      <c r="J24" s="32" t="s">
        <v>30</v>
      </c>
      <c r="K24" s="32"/>
      <c r="L24" s="32"/>
      <c r="M24" s="32"/>
      <c r="N24" s="32"/>
      <c r="O24" s="32"/>
      <c r="P24" s="32"/>
      <c r="Q24" s="32"/>
      <c r="R24" s="32"/>
      <c r="S24" s="32"/>
      <c r="T24" s="33"/>
      <c r="U24" s="32"/>
      <c r="V24" s="32"/>
      <c r="W24" s="32"/>
      <c r="X24" s="32"/>
      <c r="Y24" s="31"/>
    </row>
    <row r="25" spans="1:25" x14ac:dyDescent="0.3">
      <c r="A25">
        <v>22</v>
      </c>
      <c r="C25" s="12"/>
      <c r="D25" s="67" t="s">
        <v>794</v>
      </c>
      <c r="F25" s="31" t="s">
        <v>533</v>
      </c>
      <c r="G25" s="26" t="s">
        <v>83</v>
      </c>
      <c r="H25" s="26" t="s">
        <v>203</v>
      </c>
      <c r="I25" s="26"/>
      <c r="J25" s="26" t="s">
        <v>496</v>
      </c>
      <c r="T25" s="12"/>
    </row>
    <row r="26" spans="1:25" x14ac:dyDescent="0.3">
      <c r="A26" s="32">
        <v>23</v>
      </c>
      <c r="B26" s="32"/>
      <c r="C26" s="33"/>
      <c r="D26" s="84" t="s">
        <v>795</v>
      </c>
      <c r="E26" s="32"/>
      <c r="F26" s="32" t="s">
        <v>534</v>
      </c>
      <c r="G26" s="39" t="s">
        <v>83</v>
      </c>
      <c r="H26" s="39" t="s">
        <v>203</v>
      </c>
      <c r="I26" s="39"/>
      <c r="J26" s="32" t="s">
        <v>496</v>
      </c>
      <c r="K26" s="32"/>
      <c r="L26" s="32"/>
      <c r="M26" s="32"/>
      <c r="N26" s="32"/>
      <c r="O26" s="32"/>
      <c r="P26" s="32"/>
      <c r="Q26" s="32"/>
      <c r="R26" s="32"/>
      <c r="S26" s="32"/>
      <c r="T26" s="33"/>
      <c r="U26" s="32"/>
      <c r="V26" s="32"/>
      <c r="W26" s="32"/>
      <c r="X26" s="32"/>
    </row>
    <row r="27" spans="1:25" x14ac:dyDescent="0.3">
      <c r="A27" s="90"/>
      <c r="B27" s="34" t="s">
        <v>703</v>
      </c>
      <c r="C27" s="86" t="s">
        <v>49</v>
      </c>
      <c r="D27" s="87" t="s">
        <v>10</v>
      </c>
      <c r="E27" s="34"/>
      <c r="F27" s="34"/>
      <c r="G27" s="44"/>
      <c r="H27" s="44"/>
      <c r="I27" s="4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86"/>
      <c r="U27" s="34"/>
      <c r="V27" s="34"/>
      <c r="W27" s="34"/>
      <c r="X27" s="34"/>
    </row>
    <row r="28" spans="1:25" x14ac:dyDescent="0.3">
      <c r="A28">
        <v>24</v>
      </c>
      <c r="B28" t="s">
        <v>695</v>
      </c>
      <c r="C28" s="12" t="s">
        <v>49</v>
      </c>
      <c r="D28" s="67" t="s">
        <v>697</v>
      </c>
      <c r="F28" s="31" t="s">
        <v>536</v>
      </c>
      <c r="G28" s="26" t="s">
        <v>83</v>
      </c>
      <c r="H28" s="26" t="s">
        <v>203</v>
      </c>
      <c r="I28" s="26"/>
      <c r="J28" t="s">
        <v>496</v>
      </c>
      <c r="K28" t="s">
        <v>53</v>
      </c>
      <c r="L28" t="s">
        <v>16</v>
      </c>
      <c r="M28" t="s">
        <v>654</v>
      </c>
      <c r="N28" t="s">
        <v>67</v>
      </c>
      <c r="O28" t="s">
        <v>698</v>
      </c>
      <c r="P28" t="s">
        <v>699</v>
      </c>
      <c r="Q28" t="s">
        <v>700</v>
      </c>
      <c r="R28" s="12" t="s">
        <v>701</v>
      </c>
      <c r="S28" s="12" t="s">
        <v>702</v>
      </c>
      <c r="T28" s="12" t="s">
        <v>696</v>
      </c>
      <c r="U28">
        <v>1010</v>
      </c>
      <c r="V28">
        <v>2650</v>
      </c>
      <c r="W28">
        <v>35681697</v>
      </c>
      <c r="X28">
        <v>8045272</v>
      </c>
    </row>
    <row r="29" spans="1:25" x14ac:dyDescent="0.3">
      <c r="A29" s="32">
        <v>25</v>
      </c>
      <c r="B29" s="32"/>
      <c r="C29" s="32"/>
      <c r="D29" s="84" t="s">
        <v>719</v>
      </c>
      <c r="E29" s="32"/>
      <c r="F29" s="32" t="s">
        <v>537</v>
      </c>
      <c r="G29" s="39" t="s">
        <v>83</v>
      </c>
      <c r="H29" s="39" t="s">
        <v>203</v>
      </c>
      <c r="I29" s="39"/>
      <c r="J29" s="32" t="s">
        <v>148</v>
      </c>
      <c r="K29" s="32"/>
      <c r="L29" s="32"/>
      <c r="M29" s="32"/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5" x14ac:dyDescent="0.3">
      <c r="A30">
        <v>26</v>
      </c>
      <c r="D30" s="67" t="s">
        <v>128</v>
      </c>
      <c r="F30" s="31" t="s">
        <v>538</v>
      </c>
      <c r="G30" s="26" t="s">
        <v>83</v>
      </c>
      <c r="H30" s="26" t="s">
        <v>203</v>
      </c>
      <c r="I30" s="26"/>
      <c r="J30" s="18" t="s">
        <v>129</v>
      </c>
      <c r="K30" t="s">
        <v>53</v>
      </c>
      <c r="L30" t="s">
        <v>16</v>
      </c>
      <c r="M30" t="s">
        <v>801</v>
      </c>
      <c r="N30" t="s">
        <v>67</v>
      </c>
      <c r="O30" s="12"/>
      <c r="P30" s="12"/>
      <c r="Q30" s="12"/>
      <c r="R30" s="12" t="s">
        <v>802</v>
      </c>
      <c r="S30" s="12"/>
      <c r="T30" s="12"/>
      <c r="U30" s="12"/>
      <c r="V30" s="12"/>
      <c r="W30" s="12"/>
      <c r="X30" s="12"/>
    </row>
    <row r="31" spans="1:25" x14ac:dyDescent="0.3">
      <c r="A31" s="32">
        <v>27</v>
      </c>
      <c r="B31" s="32"/>
      <c r="C31" s="32"/>
      <c r="D31" s="84" t="s">
        <v>547</v>
      </c>
      <c r="E31" s="32"/>
      <c r="F31" s="32" t="s">
        <v>539</v>
      </c>
      <c r="G31" s="39" t="s">
        <v>83</v>
      </c>
      <c r="H31" s="39"/>
      <c r="I31" s="39"/>
      <c r="J31" s="32" t="s">
        <v>148</v>
      </c>
      <c r="K31" s="32"/>
      <c r="L31" s="32"/>
      <c r="M31" s="32"/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5" x14ac:dyDescent="0.3">
      <c r="A32">
        <v>28</v>
      </c>
      <c r="D32" s="67" t="s">
        <v>185</v>
      </c>
      <c r="F32" s="31" t="s">
        <v>540</v>
      </c>
      <c r="G32" s="26" t="s">
        <v>83</v>
      </c>
      <c r="H32" s="26" t="s">
        <v>203</v>
      </c>
      <c r="I32" s="26"/>
      <c r="J32" t="s">
        <v>496</v>
      </c>
      <c r="K32" t="s">
        <v>53</v>
      </c>
      <c r="L32" t="s">
        <v>16</v>
      </c>
      <c r="M32" t="s">
        <v>801</v>
      </c>
      <c r="N32" t="s">
        <v>67</v>
      </c>
      <c r="O32" s="12"/>
      <c r="P32" s="12"/>
      <c r="Q32" s="12"/>
      <c r="R32" s="12" t="s">
        <v>803</v>
      </c>
      <c r="S32" s="12"/>
      <c r="T32" s="12"/>
      <c r="U32" s="12"/>
      <c r="V32" s="12"/>
      <c r="W32" s="12"/>
      <c r="X32" s="12"/>
    </row>
    <row r="33" spans="1:24" x14ac:dyDescent="0.3">
      <c r="A33" s="32">
        <v>29</v>
      </c>
      <c r="B33" s="32"/>
      <c r="C33" s="32"/>
      <c r="D33" s="84" t="s">
        <v>138</v>
      </c>
      <c r="E33" s="32"/>
      <c r="F33" s="32" t="s">
        <v>541</v>
      </c>
      <c r="G33" s="39" t="s">
        <v>83</v>
      </c>
      <c r="H33" s="39" t="s">
        <v>203</v>
      </c>
      <c r="I33" s="39"/>
      <c r="J33" s="32" t="s">
        <v>496</v>
      </c>
      <c r="K33" s="32"/>
      <c r="L33" s="32"/>
      <c r="M33" s="32"/>
      <c r="N33" s="32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x14ac:dyDescent="0.3">
      <c r="A34">
        <v>30</v>
      </c>
      <c r="D34" s="67" t="s">
        <v>188</v>
      </c>
      <c r="F34" s="31" t="s">
        <v>542</v>
      </c>
      <c r="G34" s="26" t="s">
        <v>83</v>
      </c>
      <c r="H34" s="26" t="s">
        <v>203</v>
      </c>
      <c r="I34" s="26"/>
      <c r="J34" t="s">
        <v>148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">
      <c r="A35" s="32">
        <v>31</v>
      </c>
      <c r="B35" s="32"/>
      <c r="C35" s="32"/>
      <c r="D35" s="84" t="s">
        <v>710</v>
      </c>
      <c r="E35" s="32"/>
      <c r="F35" s="32" t="s">
        <v>543</v>
      </c>
      <c r="G35" s="39" t="s">
        <v>83</v>
      </c>
      <c r="H35" s="39" t="s">
        <v>203</v>
      </c>
      <c r="I35" s="39"/>
      <c r="J35" s="32" t="s">
        <v>79</v>
      </c>
      <c r="K35" s="32" t="s">
        <v>53</v>
      </c>
      <c r="L35" s="32" t="s">
        <v>16</v>
      </c>
      <c r="M35" s="32" t="s">
        <v>801</v>
      </c>
      <c r="N35" s="32" t="s">
        <v>67</v>
      </c>
      <c r="O35" s="33"/>
      <c r="P35" s="33"/>
      <c r="Q35" s="33"/>
      <c r="R35" s="33" t="s">
        <v>804</v>
      </c>
      <c r="S35" s="33"/>
      <c r="T35" s="33"/>
      <c r="U35" s="33"/>
      <c r="V35" s="33"/>
      <c r="W35" s="33"/>
      <c r="X35" s="33"/>
    </row>
    <row r="36" spans="1:24" x14ac:dyDescent="0.3">
      <c r="A36">
        <v>32</v>
      </c>
      <c r="D36" s="67" t="s">
        <v>97</v>
      </c>
      <c r="F36" s="31" t="s">
        <v>544</v>
      </c>
      <c r="G36" s="26" t="s">
        <v>83</v>
      </c>
      <c r="H36" s="26" t="s">
        <v>203</v>
      </c>
      <c r="I36" s="26"/>
      <c r="J36" t="s">
        <v>30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">
      <c r="A37" s="32">
        <v>33</v>
      </c>
      <c r="B37" s="32"/>
      <c r="C37" s="32"/>
      <c r="D37" s="84" t="s">
        <v>796</v>
      </c>
      <c r="E37" s="32"/>
      <c r="F37" s="32" t="s">
        <v>545</v>
      </c>
      <c r="G37" s="39" t="s">
        <v>83</v>
      </c>
      <c r="H37" s="39" t="s">
        <v>203</v>
      </c>
      <c r="I37" s="39"/>
      <c r="J37" s="32" t="s">
        <v>30</v>
      </c>
      <c r="K37" s="32"/>
      <c r="L37" s="32"/>
      <c r="M37" s="32"/>
      <c r="N37" s="32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x14ac:dyDescent="0.3">
      <c r="A38">
        <v>34</v>
      </c>
      <c r="D38" s="67" t="s">
        <v>548</v>
      </c>
      <c r="F38" s="31" t="s">
        <v>546</v>
      </c>
      <c r="G38" s="26" t="s">
        <v>83</v>
      </c>
      <c r="H38" s="26"/>
      <c r="I38" s="26"/>
      <c r="J38" t="s">
        <v>148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x14ac:dyDescent="0.3">
      <c r="A39" s="32">
        <v>35</v>
      </c>
      <c r="B39" s="32"/>
      <c r="C39" s="32"/>
      <c r="D39" s="32" t="s">
        <v>645</v>
      </c>
      <c r="E39" s="32"/>
      <c r="F39" s="32" t="s">
        <v>707</v>
      </c>
      <c r="G39" s="39" t="s">
        <v>84</v>
      </c>
      <c r="H39" s="32" t="s">
        <v>203</v>
      </c>
      <c r="I39" s="32"/>
      <c r="J39" s="32" t="s">
        <v>148</v>
      </c>
      <c r="K39" s="32" t="s">
        <v>550</v>
      </c>
      <c r="L39" s="32"/>
      <c r="M39" s="32"/>
      <c r="N39" s="32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x14ac:dyDescent="0.3">
      <c r="A40">
        <v>36</v>
      </c>
      <c r="D40" t="s">
        <v>136</v>
      </c>
      <c r="F40" s="31" t="s">
        <v>708</v>
      </c>
      <c r="G40" s="26" t="s">
        <v>84</v>
      </c>
      <c r="J40" t="s">
        <v>148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x14ac:dyDescent="0.3">
      <c r="A41" s="32">
        <v>37</v>
      </c>
      <c r="B41" s="32"/>
      <c r="C41" s="32"/>
      <c r="D41" s="32" t="s">
        <v>645</v>
      </c>
      <c r="E41" s="32"/>
      <c r="F41" s="32" t="s">
        <v>709</v>
      </c>
      <c r="G41" s="39" t="s">
        <v>84</v>
      </c>
      <c r="H41" s="32" t="s">
        <v>203</v>
      </c>
      <c r="I41" s="32"/>
      <c r="J41" s="32" t="s">
        <v>148</v>
      </c>
      <c r="K41" s="32" t="s">
        <v>550</v>
      </c>
      <c r="L41" s="32"/>
      <c r="M41" s="32"/>
      <c r="N41" s="32"/>
      <c r="O41" s="33"/>
      <c r="P41" s="33"/>
      <c r="Q41" s="33"/>
      <c r="R41" s="33"/>
      <c r="S41" s="33"/>
      <c r="T41" s="33"/>
      <c r="U41" s="33"/>
      <c r="V41" s="33"/>
      <c r="W41" s="33"/>
      <c r="X41" s="33"/>
    </row>
  </sheetData>
  <autoFilter ref="B1:X41" xr:uid="{36CDA7E2-E8A8-4B9D-BEA9-72B32F303034}"/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A0D5-FA61-46E3-B122-133CF8A23AC8}">
  <dimension ref="A1:G38"/>
  <sheetViews>
    <sheetView workbookViewId="0">
      <selection activeCell="F38" sqref="F38"/>
    </sheetView>
  </sheetViews>
  <sheetFormatPr defaultRowHeight="14.4" x14ac:dyDescent="0.3"/>
  <cols>
    <col min="1" max="1" width="35.109375" bestFit="1" customWidth="1"/>
    <col min="2" max="2" width="13.5546875" bestFit="1" customWidth="1"/>
    <col min="3" max="3" width="16.6640625" bestFit="1" customWidth="1"/>
    <col min="4" max="4" width="9.33203125" bestFit="1" customWidth="1"/>
    <col min="5" max="5" width="15.5546875" bestFit="1" customWidth="1"/>
    <col min="6" max="6" width="15.109375" bestFit="1" customWidth="1"/>
  </cols>
  <sheetData>
    <row r="1" spans="1:7" x14ac:dyDescent="0.3">
      <c r="A1" s="4" t="s">
        <v>50</v>
      </c>
      <c r="B1" s="4" t="s">
        <v>272</v>
      </c>
      <c r="C1" s="4" t="s">
        <v>82</v>
      </c>
      <c r="D1" s="4" t="s">
        <v>706</v>
      </c>
      <c r="E1" s="4" t="s">
        <v>27</v>
      </c>
      <c r="F1" s="4" t="s">
        <v>800</v>
      </c>
    </row>
    <row r="2" spans="1:7" x14ac:dyDescent="0.3">
      <c r="A2" s="18" t="s">
        <v>59</v>
      </c>
      <c r="B2" s="18" t="s">
        <v>51</v>
      </c>
      <c r="C2" s="21" t="s">
        <v>83</v>
      </c>
      <c r="D2" s="21" t="s">
        <v>203</v>
      </c>
      <c r="E2" s="21" t="s">
        <v>30</v>
      </c>
      <c r="F2" s="4"/>
    </row>
    <row r="3" spans="1:7" x14ac:dyDescent="0.3">
      <c r="A3" s="47" t="s">
        <v>185</v>
      </c>
      <c r="B3" s="39" t="s">
        <v>499</v>
      </c>
      <c r="C3" s="95" t="s">
        <v>83</v>
      </c>
      <c r="D3" s="95" t="s">
        <v>203</v>
      </c>
      <c r="E3" s="95" t="s">
        <v>496</v>
      </c>
      <c r="F3" s="4"/>
    </row>
    <row r="4" spans="1:7" x14ac:dyDescent="0.3">
      <c r="A4" s="35" t="s">
        <v>506</v>
      </c>
      <c r="B4" s="26" t="s">
        <v>513</v>
      </c>
      <c r="C4" s="21" t="s">
        <v>83</v>
      </c>
      <c r="D4" s="21" t="s">
        <v>203</v>
      </c>
      <c r="E4" s="21" t="s">
        <v>496</v>
      </c>
      <c r="F4" s="4"/>
    </row>
    <row r="5" spans="1:7" x14ac:dyDescent="0.3">
      <c r="A5" s="47" t="s">
        <v>667</v>
      </c>
      <c r="B5" s="39" t="s">
        <v>535</v>
      </c>
      <c r="C5" s="95" t="s">
        <v>83</v>
      </c>
      <c r="D5" s="95" t="s">
        <v>203</v>
      </c>
      <c r="E5" s="95" t="s">
        <v>194</v>
      </c>
      <c r="F5" s="95" t="s">
        <v>799</v>
      </c>
    </row>
    <row r="6" spans="1:7" x14ac:dyDescent="0.3">
      <c r="A6" s="67" t="s">
        <v>143</v>
      </c>
      <c r="B6" s="31" t="s">
        <v>531</v>
      </c>
      <c r="C6" s="21" t="s">
        <v>83</v>
      </c>
      <c r="D6" s="21" t="s">
        <v>203</v>
      </c>
      <c r="E6" s="4" t="s">
        <v>496</v>
      </c>
      <c r="F6" s="4"/>
    </row>
    <row r="7" spans="1:7" x14ac:dyDescent="0.3">
      <c r="A7" s="84" t="s">
        <v>549</v>
      </c>
      <c r="B7" s="32" t="s">
        <v>527</v>
      </c>
      <c r="C7" s="95" t="s">
        <v>83</v>
      </c>
      <c r="D7" s="95"/>
      <c r="E7" s="95" t="s">
        <v>148</v>
      </c>
      <c r="F7" s="95" t="s">
        <v>799</v>
      </c>
    </row>
    <row r="8" spans="1:7" x14ac:dyDescent="0.3">
      <c r="A8" s="67" t="s">
        <v>790</v>
      </c>
      <c r="B8" s="31" t="s">
        <v>528</v>
      </c>
      <c r="C8" s="21" t="s">
        <v>83</v>
      </c>
      <c r="D8" s="21" t="s">
        <v>203</v>
      </c>
      <c r="E8" s="21" t="s">
        <v>496</v>
      </c>
      <c r="F8" s="4"/>
    </row>
    <row r="9" spans="1:7" x14ac:dyDescent="0.3">
      <c r="A9" s="84" t="s">
        <v>791</v>
      </c>
      <c r="B9" s="32" t="s">
        <v>529</v>
      </c>
      <c r="C9" s="95" t="s">
        <v>83</v>
      </c>
      <c r="D9" s="95" t="s">
        <v>203</v>
      </c>
      <c r="E9" s="95" t="s">
        <v>496</v>
      </c>
      <c r="F9" s="4"/>
    </row>
    <row r="10" spans="1:7" x14ac:dyDescent="0.3">
      <c r="A10" s="67" t="s">
        <v>792</v>
      </c>
      <c r="B10" s="31" t="s">
        <v>530</v>
      </c>
      <c r="C10" s="21" t="s">
        <v>83</v>
      </c>
      <c r="D10" s="21" t="s">
        <v>203</v>
      </c>
      <c r="E10" s="21" t="s">
        <v>496</v>
      </c>
      <c r="F10" s="4"/>
    </row>
    <row r="11" spans="1:7" x14ac:dyDescent="0.3">
      <c r="A11" s="84" t="s">
        <v>793</v>
      </c>
      <c r="B11" s="32" t="s">
        <v>532</v>
      </c>
      <c r="C11" s="95" t="s">
        <v>83</v>
      </c>
      <c r="D11" s="95"/>
      <c r="E11" s="95" t="s">
        <v>30</v>
      </c>
      <c r="F11" s="95" t="s">
        <v>799</v>
      </c>
    </row>
    <row r="12" spans="1:7" x14ac:dyDescent="0.3">
      <c r="A12" s="67" t="s">
        <v>794</v>
      </c>
      <c r="B12" s="31" t="s">
        <v>533</v>
      </c>
      <c r="C12" s="21" t="s">
        <v>83</v>
      </c>
      <c r="D12" s="21" t="s">
        <v>203</v>
      </c>
      <c r="E12" s="21" t="s">
        <v>496</v>
      </c>
      <c r="F12" s="4"/>
    </row>
    <row r="13" spans="1:7" x14ac:dyDescent="0.3">
      <c r="A13" s="84" t="s">
        <v>795</v>
      </c>
      <c r="B13" s="32" t="s">
        <v>534</v>
      </c>
      <c r="C13" s="95" t="s">
        <v>83</v>
      </c>
      <c r="D13" s="95" t="s">
        <v>203</v>
      </c>
      <c r="E13" s="95" t="s">
        <v>496</v>
      </c>
      <c r="F13" s="4"/>
    </row>
    <row r="14" spans="1:7" x14ac:dyDescent="0.3">
      <c r="A14" s="67" t="s">
        <v>697</v>
      </c>
      <c r="B14" s="31" t="s">
        <v>536</v>
      </c>
      <c r="C14" s="21" t="s">
        <v>83</v>
      </c>
      <c r="D14" s="21" t="s">
        <v>203</v>
      </c>
      <c r="E14" s="4" t="s">
        <v>496</v>
      </c>
      <c r="F14" s="4"/>
    </row>
    <row r="15" spans="1:7" x14ac:dyDescent="0.3">
      <c r="A15" s="84" t="s">
        <v>719</v>
      </c>
      <c r="B15" s="32" t="s">
        <v>537</v>
      </c>
      <c r="C15" s="95" t="s">
        <v>83</v>
      </c>
      <c r="D15" s="95" t="s">
        <v>203</v>
      </c>
      <c r="E15" s="95" t="s">
        <v>148</v>
      </c>
      <c r="F15" s="95" t="s">
        <v>797</v>
      </c>
      <c r="G15" s="95" t="s">
        <v>203</v>
      </c>
    </row>
    <row r="16" spans="1:7" x14ac:dyDescent="0.3">
      <c r="A16" s="67" t="s">
        <v>128</v>
      </c>
      <c r="B16" s="31" t="s">
        <v>538</v>
      </c>
      <c r="C16" s="21" t="s">
        <v>83</v>
      </c>
      <c r="D16" s="21" t="s">
        <v>203</v>
      </c>
      <c r="E16" s="21" t="s">
        <v>129</v>
      </c>
      <c r="F16" s="4"/>
    </row>
    <row r="17" spans="1:6" x14ac:dyDescent="0.3">
      <c r="A17" s="84" t="s">
        <v>547</v>
      </c>
      <c r="B17" s="32" t="s">
        <v>539</v>
      </c>
      <c r="C17" s="95" t="s">
        <v>83</v>
      </c>
      <c r="D17" s="95"/>
      <c r="E17" s="95" t="s">
        <v>148</v>
      </c>
      <c r="F17" s="95" t="s">
        <v>799</v>
      </c>
    </row>
    <row r="18" spans="1:6" x14ac:dyDescent="0.3">
      <c r="A18" s="67" t="s">
        <v>185</v>
      </c>
      <c r="B18" s="31" t="s">
        <v>540</v>
      </c>
      <c r="C18" s="21" t="s">
        <v>83</v>
      </c>
      <c r="D18" s="21" t="s">
        <v>203</v>
      </c>
      <c r="E18" s="4" t="s">
        <v>496</v>
      </c>
      <c r="F18" s="4"/>
    </row>
    <row r="19" spans="1:6" x14ac:dyDescent="0.3">
      <c r="A19" s="84" t="s">
        <v>138</v>
      </c>
      <c r="B19" s="32" t="s">
        <v>541</v>
      </c>
      <c r="C19" s="95" t="s">
        <v>83</v>
      </c>
      <c r="D19" s="95" t="s">
        <v>203</v>
      </c>
      <c r="E19" s="95" t="s">
        <v>496</v>
      </c>
      <c r="F19" s="4"/>
    </row>
    <row r="20" spans="1:6" x14ac:dyDescent="0.3">
      <c r="A20" s="67" t="s">
        <v>188</v>
      </c>
      <c r="B20" s="31" t="s">
        <v>542</v>
      </c>
      <c r="C20" s="21" t="s">
        <v>83</v>
      </c>
      <c r="D20" s="21" t="s">
        <v>203</v>
      </c>
      <c r="E20" s="4" t="s">
        <v>148</v>
      </c>
      <c r="F20" s="4"/>
    </row>
    <row r="21" spans="1:6" x14ac:dyDescent="0.3">
      <c r="A21" s="84" t="s">
        <v>710</v>
      </c>
      <c r="B21" s="32" t="s">
        <v>543</v>
      </c>
      <c r="C21" s="95" t="s">
        <v>83</v>
      </c>
      <c r="D21" s="95" t="s">
        <v>203</v>
      </c>
      <c r="E21" s="95" t="s">
        <v>79</v>
      </c>
      <c r="F21" s="95" t="s">
        <v>799</v>
      </c>
    </row>
    <row r="22" spans="1:6" x14ac:dyDescent="0.3">
      <c r="A22" s="67" t="s">
        <v>97</v>
      </c>
      <c r="B22" s="31" t="s">
        <v>544</v>
      </c>
      <c r="C22" s="21" t="s">
        <v>83</v>
      </c>
      <c r="D22" s="21" t="s">
        <v>203</v>
      </c>
      <c r="E22" s="4" t="s">
        <v>30</v>
      </c>
      <c r="F22" s="4"/>
    </row>
    <row r="23" spans="1:6" x14ac:dyDescent="0.3">
      <c r="A23" s="84" t="s">
        <v>796</v>
      </c>
      <c r="B23" s="32" t="s">
        <v>545</v>
      </c>
      <c r="C23" s="95" t="s">
        <v>83</v>
      </c>
      <c r="D23" s="95" t="s">
        <v>203</v>
      </c>
      <c r="E23" s="95" t="s">
        <v>30</v>
      </c>
      <c r="F23" s="95" t="s">
        <v>799</v>
      </c>
    </row>
    <row r="24" spans="1:6" x14ac:dyDescent="0.3">
      <c r="A24" s="67" t="s">
        <v>548</v>
      </c>
      <c r="B24" s="31" t="s">
        <v>546</v>
      </c>
      <c r="C24" s="21" t="s">
        <v>83</v>
      </c>
      <c r="D24" s="21"/>
      <c r="E24" s="4" t="s">
        <v>148</v>
      </c>
      <c r="F24" s="4" t="s">
        <v>799</v>
      </c>
    </row>
    <row r="25" spans="1:6" x14ac:dyDescent="0.3">
      <c r="A25" s="32" t="s">
        <v>78</v>
      </c>
      <c r="B25" s="32" t="s">
        <v>90</v>
      </c>
      <c r="C25" s="95" t="s">
        <v>84</v>
      </c>
      <c r="D25" s="95" t="s">
        <v>203</v>
      </c>
      <c r="E25" s="95" t="s">
        <v>79</v>
      </c>
      <c r="F25" s="4"/>
    </row>
    <row r="26" spans="1:6" x14ac:dyDescent="0.3">
      <c r="A26" s="18" t="s">
        <v>105</v>
      </c>
      <c r="B26" s="18" t="s">
        <v>104</v>
      </c>
      <c r="C26" s="21" t="s">
        <v>84</v>
      </c>
      <c r="D26" s="21" t="s">
        <v>203</v>
      </c>
      <c r="E26" s="21" t="s">
        <v>106</v>
      </c>
      <c r="F26" s="4"/>
    </row>
    <row r="27" spans="1:6" x14ac:dyDescent="0.3">
      <c r="A27" s="39" t="s">
        <v>303</v>
      </c>
      <c r="B27" s="38" t="s">
        <v>319</v>
      </c>
      <c r="C27" s="95" t="s">
        <v>84</v>
      </c>
      <c r="D27" s="95" t="s">
        <v>203</v>
      </c>
      <c r="E27" s="95" t="s">
        <v>202</v>
      </c>
      <c r="F27" s="95" t="s">
        <v>798</v>
      </c>
    </row>
    <row r="28" spans="1:6" x14ac:dyDescent="0.3">
      <c r="A28" s="26" t="s">
        <v>340</v>
      </c>
      <c r="B28" s="22" t="s">
        <v>334</v>
      </c>
      <c r="C28" s="21" t="s">
        <v>84</v>
      </c>
      <c r="D28" s="21" t="s">
        <v>203</v>
      </c>
      <c r="E28" s="21" t="s">
        <v>36</v>
      </c>
      <c r="F28" s="4"/>
    </row>
    <row r="29" spans="1:6" x14ac:dyDescent="0.3">
      <c r="A29" s="38" t="s">
        <v>199</v>
      </c>
      <c r="B29" s="38" t="s">
        <v>341</v>
      </c>
      <c r="C29" s="95" t="s">
        <v>84</v>
      </c>
      <c r="D29" s="95" t="s">
        <v>203</v>
      </c>
      <c r="E29" s="95" t="s">
        <v>199</v>
      </c>
      <c r="F29" s="4"/>
    </row>
    <row r="30" spans="1:6" x14ac:dyDescent="0.3">
      <c r="A30" s="18" t="s">
        <v>223</v>
      </c>
      <c r="B30" s="18" t="s">
        <v>224</v>
      </c>
      <c r="C30" s="21" t="s">
        <v>84</v>
      </c>
      <c r="D30" s="21" t="s">
        <v>203</v>
      </c>
      <c r="E30" s="21" t="s">
        <v>29</v>
      </c>
      <c r="F30" s="4"/>
    </row>
    <row r="31" spans="1:6" x14ac:dyDescent="0.3">
      <c r="A31" s="32" t="s">
        <v>284</v>
      </c>
      <c r="B31" s="32" t="s">
        <v>243</v>
      </c>
      <c r="C31" s="95" t="s">
        <v>84</v>
      </c>
      <c r="D31" s="95" t="s">
        <v>203</v>
      </c>
      <c r="E31" s="95" t="s">
        <v>29</v>
      </c>
      <c r="F31" s="4"/>
    </row>
    <row r="32" spans="1:6" x14ac:dyDescent="0.3">
      <c r="A32" s="18" t="s">
        <v>76</v>
      </c>
      <c r="B32" s="18" t="s">
        <v>244</v>
      </c>
      <c r="C32" s="21" t="s">
        <v>84</v>
      </c>
      <c r="D32" s="21" t="s">
        <v>203</v>
      </c>
      <c r="E32" s="21" t="s">
        <v>79</v>
      </c>
      <c r="F32" s="4"/>
    </row>
    <row r="33" spans="1:6" x14ac:dyDescent="0.3">
      <c r="A33" s="32" t="s">
        <v>283</v>
      </c>
      <c r="B33" s="32" t="s">
        <v>282</v>
      </c>
      <c r="C33" s="95" t="s">
        <v>84</v>
      </c>
      <c r="D33" s="95" t="s">
        <v>203</v>
      </c>
      <c r="E33" s="95" t="s">
        <v>31</v>
      </c>
      <c r="F33" s="4"/>
    </row>
    <row r="34" spans="1:6" x14ac:dyDescent="0.3">
      <c r="A34" s="35" t="s">
        <v>28</v>
      </c>
      <c r="B34" s="26" t="s">
        <v>149</v>
      </c>
      <c r="C34" s="21" t="s">
        <v>84</v>
      </c>
      <c r="D34" s="21" t="s">
        <v>203</v>
      </c>
      <c r="E34" s="21" t="s">
        <v>28</v>
      </c>
      <c r="F34" s="4"/>
    </row>
    <row r="35" spans="1:6" x14ac:dyDescent="0.3">
      <c r="A35" s="47" t="s">
        <v>196</v>
      </c>
      <c r="B35" s="39" t="s">
        <v>221</v>
      </c>
      <c r="C35" s="95" t="s">
        <v>84</v>
      </c>
      <c r="D35" s="95" t="s">
        <v>203</v>
      </c>
      <c r="E35" s="95" t="s">
        <v>200</v>
      </c>
      <c r="F35" s="4"/>
    </row>
    <row r="36" spans="1:6" x14ac:dyDescent="0.3">
      <c r="A36" s="18" t="s">
        <v>645</v>
      </c>
      <c r="B36" s="18" t="s">
        <v>707</v>
      </c>
      <c r="C36" s="21" t="s">
        <v>84</v>
      </c>
      <c r="D36" s="21" t="s">
        <v>203</v>
      </c>
      <c r="E36" s="21" t="s">
        <v>148</v>
      </c>
      <c r="F36" s="21" t="s">
        <v>798</v>
      </c>
    </row>
    <row r="37" spans="1:6" x14ac:dyDescent="0.3">
      <c r="A37" s="32" t="s">
        <v>136</v>
      </c>
      <c r="B37" s="32" t="s">
        <v>708</v>
      </c>
      <c r="C37" s="95" t="s">
        <v>84</v>
      </c>
      <c r="D37" s="95"/>
      <c r="E37" s="95" t="s">
        <v>148</v>
      </c>
      <c r="F37" s="4"/>
    </row>
    <row r="38" spans="1:6" x14ac:dyDescent="0.3">
      <c r="A38" s="18" t="s">
        <v>645</v>
      </c>
      <c r="B38" s="18" t="s">
        <v>709</v>
      </c>
      <c r="C38" s="21" t="s">
        <v>84</v>
      </c>
      <c r="D38" s="21" t="s">
        <v>203</v>
      </c>
      <c r="E38" s="21" t="s">
        <v>148</v>
      </c>
      <c r="F38" s="4" t="s">
        <v>797</v>
      </c>
    </row>
  </sheetData>
  <autoFilter ref="A1:G1" xr:uid="{D0E6A0D5-FA61-46E3-B122-133CF8A23AC8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14DE-EB0C-4D46-A3C0-602944B6C9EF}">
  <dimension ref="B3:N36"/>
  <sheetViews>
    <sheetView workbookViewId="0">
      <selection activeCell="M10" sqref="M10"/>
    </sheetView>
  </sheetViews>
  <sheetFormatPr defaultRowHeight="14.4" x14ac:dyDescent="0.3"/>
  <cols>
    <col min="1" max="1" width="2.5546875" customWidth="1"/>
    <col min="2" max="2" width="11.6640625" bestFit="1" customWidth="1"/>
    <col min="3" max="3" width="31" bestFit="1" customWidth="1"/>
    <col min="4" max="4" width="3.33203125" bestFit="1" customWidth="1"/>
    <col min="5" max="5" width="34.6640625" bestFit="1" customWidth="1"/>
    <col min="6" max="6" width="23.109375" bestFit="1" customWidth="1"/>
    <col min="7" max="7" width="13.109375" bestFit="1" customWidth="1"/>
    <col min="8" max="8" width="14.44140625" bestFit="1" customWidth="1"/>
    <col min="9" max="9" width="42.33203125" bestFit="1" customWidth="1"/>
    <col min="10" max="10" width="16" bestFit="1" customWidth="1"/>
    <col min="11" max="11" width="18.6640625" bestFit="1" customWidth="1"/>
    <col min="12" max="12" width="13.33203125" bestFit="1" customWidth="1"/>
    <col min="13" max="13" width="21.44140625" bestFit="1" customWidth="1"/>
    <col min="14" max="14" width="9.5546875" bestFit="1" customWidth="1"/>
  </cols>
  <sheetData>
    <row r="3" spans="2:14" x14ac:dyDescent="0.3">
      <c r="B3" s="99" t="s">
        <v>929</v>
      </c>
      <c r="C3" s="96" t="s">
        <v>584</v>
      </c>
      <c r="D3" s="96" t="s">
        <v>24</v>
      </c>
      <c r="E3" s="96" t="s">
        <v>579</v>
      </c>
      <c r="F3" s="96" t="s">
        <v>50</v>
      </c>
      <c r="G3" s="96" t="s">
        <v>19</v>
      </c>
      <c r="H3" s="96" t="s">
        <v>1</v>
      </c>
      <c r="I3" s="96" t="s">
        <v>96</v>
      </c>
      <c r="J3" s="96" t="s">
        <v>930</v>
      </c>
      <c r="K3" s="96" t="s">
        <v>587</v>
      </c>
      <c r="L3" s="96" t="s">
        <v>588</v>
      </c>
      <c r="M3" s="96" t="s">
        <v>589</v>
      </c>
      <c r="N3" s="96" t="s">
        <v>590</v>
      </c>
    </row>
    <row r="4" spans="2:14" x14ac:dyDescent="0.3">
      <c r="B4" s="99"/>
      <c r="C4" s="99" t="s">
        <v>577</v>
      </c>
      <c r="D4" s="99">
        <v>1</v>
      </c>
      <c r="E4" s="96" t="s">
        <v>569</v>
      </c>
      <c r="F4" s="99"/>
      <c r="G4" s="99"/>
      <c r="H4" s="96"/>
      <c r="I4" s="99"/>
      <c r="J4" s="96"/>
      <c r="K4" s="99"/>
      <c r="L4" s="99"/>
      <c r="M4" s="99"/>
      <c r="N4" s="99"/>
    </row>
    <row r="5" spans="2:14" x14ac:dyDescent="0.3">
      <c r="B5" s="99"/>
      <c r="C5" s="99"/>
      <c r="D5" s="99"/>
      <c r="E5" s="96"/>
      <c r="F5" s="99"/>
      <c r="G5" s="99"/>
      <c r="H5" s="96"/>
      <c r="I5" s="99"/>
      <c r="J5" s="96"/>
      <c r="K5" s="99"/>
      <c r="L5" s="99"/>
      <c r="M5" s="99"/>
      <c r="N5" s="99"/>
    </row>
    <row r="6" spans="2:14" x14ac:dyDescent="0.3">
      <c r="B6" s="99" t="s">
        <v>582</v>
      </c>
      <c r="C6" s="99" t="s">
        <v>599</v>
      </c>
      <c r="D6" s="99">
        <v>1</v>
      </c>
      <c r="E6" s="96" t="s">
        <v>580</v>
      </c>
      <c r="F6" s="132" t="s">
        <v>573</v>
      </c>
      <c r="G6" s="132" t="s">
        <v>572</v>
      </c>
      <c r="H6" s="132" t="s">
        <v>20</v>
      </c>
      <c r="I6" s="132" t="s">
        <v>583</v>
      </c>
      <c r="J6" s="133">
        <v>46353</v>
      </c>
      <c r="K6" s="99"/>
      <c r="L6" s="99" t="s">
        <v>726</v>
      </c>
      <c r="M6" s="99"/>
      <c r="N6" s="99"/>
    </row>
    <row r="7" spans="2:14" x14ac:dyDescent="0.3">
      <c r="B7" s="99" t="s">
        <v>582</v>
      </c>
      <c r="C7" s="99" t="s">
        <v>578</v>
      </c>
      <c r="D7" s="99">
        <v>1</v>
      </c>
      <c r="E7" s="96" t="s">
        <v>581</v>
      </c>
      <c r="F7" s="132"/>
      <c r="G7" s="132"/>
      <c r="H7" s="132"/>
      <c r="I7" s="132"/>
      <c r="J7" s="133"/>
      <c r="K7" s="99"/>
      <c r="L7" s="99" t="s">
        <v>932</v>
      </c>
      <c r="M7" s="99"/>
      <c r="N7" s="99"/>
    </row>
    <row r="8" spans="2:14" x14ac:dyDescent="0.3">
      <c r="B8" s="99" t="s">
        <v>582</v>
      </c>
      <c r="C8" s="99" t="s">
        <v>599</v>
      </c>
      <c r="D8" s="99">
        <v>1</v>
      </c>
      <c r="E8" s="96" t="s">
        <v>598</v>
      </c>
      <c r="F8" s="96" t="s">
        <v>595</v>
      </c>
      <c r="G8" s="121" t="s">
        <v>600</v>
      </c>
      <c r="H8" s="96" t="s">
        <v>20</v>
      </c>
      <c r="I8" s="121"/>
      <c r="J8" s="120">
        <v>46356</v>
      </c>
      <c r="K8" s="99"/>
      <c r="L8" s="99" t="s">
        <v>726</v>
      </c>
      <c r="M8" s="99"/>
      <c r="N8" s="99"/>
    </row>
    <row r="9" spans="2:14" x14ac:dyDescent="0.3">
      <c r="B9" s="99" t="s">
        <v>582</v>
      </c>
      <c r="C9" s="99" t="s">
        <v>599</v>
      </c>
      <c r="D9" s="99">
        <v>1</v>
      </c>
      <c r="E9" s="96" t="s">
        <v>629</v>
      </c>
      <c r="F9" s="96" t="s">
        <v>624</v>
      </c>
      <c r="G9" s="121" t="s">
        <v>626</v>
      </c>
      <c r="H9" s="96" t="s">
        <v>20</v>
      </c>
      <c r="I9" s="121"/>
      <c r="J9" s="120">
        <v>46356</v>
      </c>
      <c r="K9" s="99"/>
      <c r="L9" s="99" t="s">
        <v>726</v>
      </c>
      <c r="M9" s="99"/>
      <c r="N9" s="99"/>
    </row>
    <row r="10" spans="2:14" x14ac:dyDescent="0.3">
      <c r="B10" s="99" t="s">
        <v>582</v>
      </c>
      <c r="C10" s="99" t="s">
        <v>599</v>
      </c>
      <c r="D10" s="99">
        <v>1</v>
      </c>
      <c r="E10" s="96" t="s">
        <v>639</v>
      </c>
      <c r="F10" s="96" t="s">
        <v>641</v>
      </c>
      <c r="G10" s="99" t="s">
        <v>640</v>
      </c>
      <c r="H10" s="96" t="s">
        <v>20</v>
      </c>
      <c r="I10" s="99"/>
      <c r="J10" s="120">
        <v>46356</v>
      </c>
      <c r="K10" s="99"/>
      <c r="L10" s="99" t="s">
        <v>726</v>
      </c>
      <c r="M10" s="99"/>
      <c r="N10" s="99"/>
    </row>
    <row r="11" spans="2:14" x14ac:dyDescent="0.3">
      <c r="B11" s="99" t="s">
        <v>582</v>
      </c>
      <c r="C11" s="99" t="s">
        <v>599</v>
      </c>
      <c r="D11" s="99">
        <v>1</v>
      </c>
      <c r="E11" s="96" t="s">
        <v>918</v>
      </c>
      <c r="F11" s="96"/>
      <c r="G11" s="99"/>
      <c r="H11" s="96"/>
      <c r="I11" s="99"/>
      <c r="J11" s="120">
        <v>46356</v>
      </c>
      <c r="K11" s="99"/>
      <c r="L11" s="99" t="s">
        <v>726</v>
      </c>
      <c r="M11" s="99"/>
      <c r="N11" s="99"/>
    </row>
    <row r="12" spans="2:14" x14ac:dyDescent="0.3">
      <c r="B12" s="99" t="s">
        <v>582</v>
      </c>
      <c r="C12" s="99"/>
      <c r="D12" s="99">
        <v>1</v>
      </c>
      <c r="E12" s="96" t="s">
        <v>919</v>
      </c>
      <c r="F12" s="96"/>
      <c r="G12" s="99"/>
      <c r="H12" s="96"/>
      <c r="I12" s="99"/>
      <c r="J12" s="120">
        <v>46356</v>
      </c>
      <c r="K12" s="99"/>
      <c r="L12" s="99" t="s">
        <v>726</v>
      </c>
      <c r="M12" s="99"/>
      <c r="N12" s="99"/>
    </row>
    <row r="13" spans="2:14" x14ac:dyDescent="0.3">
      <c r="B13" s="99"/>
      <c r="C13" s="99"/>
      <c r="D13" s="99">
        <v>1</v>
      </c>
      <c r="E13" s="96" t="s">
        <v>920</v>
      </c>
      <c r="F13" s="96"/>
      <c r="G13" s="99"/>
      <c r="H13" s="96"/>
      <c r="I13" s="99"/>
      <c r="J13" s="120">
        <v>46356</v>
      </c>
      <c r="K13" s="99"/>
      <c r="L13" s="99" t="s">
        <v>726</v>
      </c>
      <c r="M13" s="99"/>
      <c r="N13" s="99"/>
    </row>
    <row r="14" spans="2:14" x14ac:dyDescent="0.3">
      <c r="B14" s="99"/>
      <c r="C14" s="99"/>
      <c r="D14" s="99">
        <v>1</v>
      </c>
      <c r="E14" s="96" t="s">
        <v>921</v>
      </c>
      <c r="F14" s="96"/>
      <c r="G14" s="99"/>
      <c r="H14" s="96"/>
      <c r="I14" s="99"/>
      <c r="J14" s="120">
        <v>46353</v>
      </c>
      <c r="K14" s="99"/>
      <c r="L14" s="99" t="s">
        <v>726</v>
      </c>
      <c r="M14" s="99"/>
      <c r="N14" s="99"/>
    </row>
    <row r="15" spans="2:14" x14ac:dyDescent="0.3">
      <c r="B15" s="99"/>
      <c r="C15" s="99"/>
      <c r="D15" s="99">
        <v>1</v>
      </c>
      <c r="E15" s="96" t="s">
        <v>922</v>
      </c>
      <c r="F15" s="96"/>
      <c r="G15" s="99"/>
      <c r="H15" s="96"/>
      <c r="I15" s="99"/>
      <c r="J15" s="120">
        <v>45670</v>
      </c>
      <c r="K15" s="99"/>
      <c r="L15" s="99" t="s">
        <v>726</v>
      </c>
      <c r="M15" s="99"/>
      <c r="N15" s="99"/>
    </row>
    <row r="16" spans="2:14" x14ac:dyDescent="0.3">
      <c r="B16" s="99"/>
      <c r="C16" s="99"/>
      <c r="D16" s="99">
        <v>1</v>
      </c>
      <c r="E16" s="96" t="s">
        <v>923</v>
      </c>
      <c r="F16" s="96"/>
      <c r="G16" s="99"/>
      <c r="H16" s="96"/>
      <c r="I16" s="99"/>
      <c r="J16" s="120">
        <v>46406</v>
      </c>
      <c r="K16" s="99"/>
      <c r="L16" s="99" t="s">
        <v>726</v>
      </c>
      <c r="M16" s="99"/>
      <c r="N16" s="99"/>
    </row>
    <row r="17" spans="2:14" x14ac:dyDescent="0.3">
      <c r="B17" s="99"/>
      <c r="C17" s="99" t="s">
        <v>924</v>
      </c>
      <c r="D17" s="99">
        <v>1</v>
      </c>
      <c r="E17" s="96" t="s">
        <v>926</v>
      </c>
      <c r="F17" s="96"/>
      <c r="G17" s="99"/>
      <c r="H17" s="96"/>
      <c r="I17" s="99"/>
      <c r="J17" s="120">
        <v>46356</v>
      </c>
      <c r="K17" s="99"/>
      <c r="L17" s="99" t="s">
        <v>726</v>
      </c>
      <c r="M17" s="99"/>
      <c r="N17" s="99"/>
    </row>
    <row r="18" spans="2:14" x14ac:dyDescent="0.3">
      <c r="B18" s="99"/>
      <c r="C18" s="99" t="s">
        <v>924</v>
      </c>
      <c r="D18" s="99">
        <v>1</v>
      </c>
      <c r="E18" s="96" t="s">
        <v>927</v>
      </c>
      <c r="F18" s="96"/>
      <c r="G18" s="99"/>
      <c r="H18" s="96"/>
      <c r="I18" s="99"/>
      <c r="J18" s="120">
        <v>45670</v>
      </c>
      <c r="K18" s="99"/>
      <c r="L18" s="99" t="s">
        <v>726</v>
      </c>
      <c r="M18" s="99"/>
      <c r="N18" s="99"/>
    </row>
    <row r="19" spans="2:14" x14ac:dyDescent="0.3">
      <c r="B19" s="99"/>
      <c r="C19" s="99" t="s">
        <v>925</v>
      </c>
      <c r="D19" s="99">
        <v>1</v>
      </c>
      <c r="E19" s="96" t="s">
        <v>928</v>
      </c>
      <c r="F19" s="96"/>
      <c r="G19" s="99"/>
      <c r="H19" s="96"/>
      <c r="I19" s="99"/>
      <c r="J19" s="120">
        <v>45988</v>
      </c>
      <c r="K19" s="99"/>
      <c r="L19" s="99" t="s">
        <v>726</v>
      </c>
      <c r="M19" s="99"/>
      <c r="N19" s="99"/>
    </row>
    <row r="20" spans="2:14" x14ac:dyDescent="0.3">
      <c r="B20" s="99"/>
      <c r="C20" s="99"/>
      <c r="D20" s="99"/>
      <c r="E20" s="96"/>
      <c r="F20" s="96"/>
      <c r="G20" s="99"/>
      <c r="H20" s="96"/>
      <c r="I20" s="99"/>
      <c r="J20" s="96"/>
      <c r="K20" s="99"/>
      <c r="L20" s="99"/>
      <c r="M20" s="99"/>
      <c r="N20" s="99"/>
    </row>
    <row r="21" spans="2:14" x14ac:dyDescent="0.3">
      <c r="B21" s="99" t="s">
        <v>586</v>
      </c>
      <c r="C21" s="99" t="s">
        <v>585</v>
      </c>
      <c r="D21" s="99"/>
      <c r="E21" s="96"/>
      <c r="F21" s="96" t="s">
        <v>551</v>
      </c>
      <c r="G21" s="99" t="s">
        <v>554</v>
      </c>
      <c r="H21" s="96" t="s">
        <v>20</v>
      </c>
      <c r="I21" s="96" t="s">
        <v>618</v>
      </c>
      <c r="J21" s="96"/>
      <c r="K21" s="99"/>
      <c r="L21" s="99"/>
      <c r="M21" s="99"/>
      <c r="N21" s="99"/>
    </row>
    <row r="22" spans="2:14" x14ac:dyDescent="0.3">
      <c r="B22" s="99"/>
      <c r="C22" s="99"/>
      <c r="D22" s="99"/>
      <c r="E22" s="99"/>
      <c r="F22" s="99"/>
      <c r="G22" s="99"/>
      <c r="H22" s="96"/>
      <c r="I22" s="99"/>
      <c r="J22" s="96"/>
      <c r="K22" s="99"/>
      <c r="L22" s="99"/>
      <c r="M22" s="99"/>
      <c r="N22" s="99"/>
    </row>
    <row r="23" spans="2:14" x14ac:dyDescent="0.3">
      <c r="B23" s="99" t="s">
        <v>727</v>
      </c>
      <c r="C23" s="99" t="s">
        <v>720</v>
      </c>
      <c r="D23" s="99">
        <v>1</v>
      </c>
      <c r="E23" s="96" t="s">
        <v>722</v>
      </c>
      <c r="F23" s="96" t="s">
        <v>723</v>
      </c>
      <c r="G23" s="99" t="s">
        <v>711</v>
      </c>
      <c r="H23" s="96" t="s">
        <v>11</v>
      </c>
      <c r="I23" s="99"/>
      <c r="J23" s="96"/>
      <c r="K23" s="99"/>
      <c r="L23" s="99" t="s">
        <v>726</v>
      </c>
      <c r="M23" s="99"/>
      <c r="N23" s="99"/>
    </row>
    <row r="24" spans="2:14" x14ac:dyDescent="0.3">
      <c r="B24" s="99" t="s">
        <v>727</v>
      </c>
      <c r="C24" s="99" t="s">
        <v>721</v>
      </c>
      <c r="D24" s="99">
        <v>1</v>
      </c>
      <c r="E24" s="96" t="s">
        <v>724</v>
      </c>
      <c r="F24" s="96" t="s">
        <v>725</v>
      </c>
      <c r="G24" s="99" t="s">
        <v>711</v>
      </c>
      <c r="H24" s="96" t="s">
        <v>11</v>
      </c>
      <c r="I24" s="99"/>
      <c r="J24" s="96"/>
      <c r="K24" s="99"/>
      <c r="L24" s="99" t="s">
        <v>726</v>
      </c>
      <c r="M24" s="99"/>
      <c r="N24" s="99"/>
    </row>
    <row r="25" spans="2:14" x14ac:dyDescent="0.3">
      <c r="B25" s="99"/>
      <c r="C25" s="99"/>
      <c r="D25" s="99"/>
      <c r="E25" s="99"/>
      <c r="F25" s="99"/>
      <c r="G25" s="99"/>
      <c r="H25" s="96"/>
      <c r="I25" s="99"/>
      <c r="J25" s="96"/>
      <c r="K25" s="99"/>
      <c r="L25" s="99"/>
      <c r="M25" s="99"/>
      <c r="N25" s="99"/>
    </row>
    <row r="26" spans="2:14" x14ac:dyDescent="0.3">
      <c r="B26" s="99" t="s">
        <v>830</v>
      </c>
      <c r="C26" s="96" t="s">
        <v>478</v>
      </c>
      <c r="D26" s="122">
        <v>2</v>
      </c>
      <c r="E26" s="96" t="s">
        <v>479</v>
      </c>
      <c r="F26" s="99"/>
      <c r="G26" s="99"/>
      <c r="H26" s="96"/>
      <c r="I26" s="99"/>
      <c r="J26" s="96"/>
      <c r="K26" s="99"/>
      <c r="L26" s="99" t="s">
        <v>931</v>
      </c>
      <c r="M26" s="99"/>
      <c r="N26" s="99"/>
    </row>
    <row r="27" spans="2:14" x14ac:dyDescent="0.3">
      <c r="B27" s="99" t="s">
        <v>830</v>
      </c>
      <c r="C27" s="96" t="s">
        <v>480</v>
      </c>
      <c r="D27" s="122"/>
      <c r="E27" s="96" t="s">
        <v>481</v>
      </c>
      <c r="F27" s="99"/>
      <c r="G27" s="99"/>
      <c r="H27" s="96"/>
      <c r="I27" s="99"/>
      <c r="J27" s="96"/>
      <c r="K27" s="99"/>
      <c r="L27" s="99" t="s">
        <v>931</v>
      </c>
      <c r="M27" s="99"/>
      <c r="N27" s="99"/>
    </row>
    <row r="28" spans="2:14" x14ac:dyDescent="0.3">
      <c r="B28" s="99" t="s">
        <v>830</v>
      </c>
      <c r="C28" s="96" t="s">
        <v>482</v>
      </c>
      <c r="D28" s="122"/>
      <c r="E28" s="96" t="s">
        <v>483</v>
      </c>
      <c r="F28" s="99"/>
      <c r="G28" s="99"/>
      <c r="H28" s="96"/>
      <c r="I28" s="99"/>
      <c r="J28" s="96"/>
      <c r="K28" s="99"/>
      <c r="L28" s="99" t="s">
        <v>931</v>
      </c>
      <c r="M28" s="99"/>
      <c r="N28" s="99"/>
    </row>
    <row r="29" spans="2:14" x14ac:dyDescent="0.3">
      <c r="B29" s="99" t="s">
        <v>830</v>
      </c>
      <c r="C29" s="96" t="s">
        <v>484</v>
      </c>
      <c r="D29" s="122">
        <v>1</v>
      </c>
      <c r="E29" s="96" t="s">
        <v>485</v>
      </c>
      <c r="F29" s="99"/>
      <c r="G29" s="99"/>
      <c r="H29" s="96"/>
      <c r="I29" s="99"/>
      <c r="J29" s="96"/>
      <c r="K29" s="99"/>
      <c r="L29" s="99" t="s">
        <v>931</v>
      </c>
      <c r="M29" s="99"/>
      <c r="N29" s="99"/>
    </row>
    <row r="30" spans="2:14" x14ac:dyDescent="0.3">
      <c r="H30" s="4"/>
    </row>
    <row r="31" spans="2:14" x14ac:dyDescent="0.3">
      <c r="H31" s="4"/>
    </row>
    <row r="32" spans="2:14" x14ac:dyDescent="0.3">
      <c r="H32" s="4"/>
    </row>
    <row r="33" spans="8:8" x14ac:dyDescent="0.3">
      <c r="H33" s="4"/>
    </row>
    <row r="34" spans="8:8" x14ac:dyDescent="0.3">
      <c r="H34" s="4"/>
    </row>
    <row r="35" spans="8:8" x14ac:dyDescent="0.3">
      <c r="H35" s="4"/>
    </row>
    <row r="36" spans="8:8" x14ac:dyDescent="0.3">
      <c r="H36" s="4"/>
    </row>
  </sheetData>
  <mergeCells count="5">
    <mergeCell ref="F6:F7"/>
    <mergeCell ref="G6:G7"/>
    <mergeCell ref="H6:H7"/>
    <mergeCell ref="I6:I7"/>
    <mergeCell ref="J6:J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84DE-02F4-4BEE-9B58-FEA4B7723593}">
  <dimension ref="B2:F25"/>
  <sheetViews>
    <sheetView workbookViewId="0">
      <selection activeCell="C5" sqref="B5:C5"/>
    </sheetView>
  </sheetViews>
  <sheetFormatPr defaultRowHeight="14.4" x14ac:dyDescent="0.3"/>
  <cols>
    <col min="2" max="2" width="12.6640625" bestFit="1" customWidth="1"/>
    <col min="3" max="3" width="14" bestFit="1" customWidth="1"/>
    <col min="4" max="4" width="19.109375" bestFit="1" customWidth="1"/>
    <col min="5" max="5" width="18.109375" bestFit="1" customWidth="1"/>
    <col min="6" max="6" width="37" bestFit="1" customWidth="1"/>
  </cols>
  <sheetData>
    <row r="2" spans="2:6" x14ac:dyDescent="0.3">
      <c r="B2" s="96" t="s">
        <v>729</v>
      </c>
      <c r="C2" s="96" t="s">
        <v>731</v>
      </c>
      <c r="D2" s="96" t="s">
        <v>50</v>
      </c>
      <c r="E2" s="102" t="s">
        <v>48</v>
      </c>
      <c r="F2" s="96" t="s">
        <v>694</v>
      </c>
    </row>
    <row r="3" spans="2:6" x14ac:dyDescent="0.3">
      <c r="B3" s="99" t="s">
        <v>603</v>
      </c>
      <c r="C3" s="99" t="s">
        <v>806</v>
      </c>
      <c r="D3" t="s">
        <v>604</v>
      </c>
      <c r="E3" s="100" t="s">
        <v>605</v>
      </c>
      <c r="F3" s="99" t="s">
        <v>809</v>
      </c>
    </row>
    <row r="4" spans="2:6" x14ac:dyDescent="0.3">
      <c r="B4" s="99" t="s">
        <v>606</v>
      </c>
      <c r="C4" s="100" t="s">
        <v>620</v>
      </c>
      <c r="D4" s="100" t="s">
        <v>607</v>
      </c>
      <c r="E4" s="100" t="s">
        <v>605</v>
      </c>
      <c r="F4" s="99" t="s">
        <v>810</v>
      </c>
    </row>
    <row r="5" spans="2:6" x14ac:dyDescent="0.3">
      <c r="B5" s="99" t="s">
        <v>615</v>
      </c>
      <c r="C5" s="99" t="s">
        <v>933</v>
      </c>
      <c r="D5" s="99" t="s">
        <v>616</v>
      </c>
      <c r="E5" s="103" t="s">
        <v>617</v>
      </c>
      <c r="F5" s="99" t="s">
        <v>811</v>
      </c>
    </row>
    <row r="6" spans="2:6" x14ac:dyDescent="0.3">
      <c r="B6" s="99" t="s">
        <v>835</v>
      </c>
      <c r="C6" s="99"/>
      <c r="D6" s="99" t="s">
        <v>822</v>
      </c>
      <c r="E6" s="103" t="s">
        <v>617</v>
      </c>
      <c r="F6" s="99" t="s">
        <v>834</v>
      </c>
    </row>
    <row r="7" spans="2:6" x14ac:dyDescent="0.3">
      <c r="B7" s="99"/>
      <c r="C7" s="99"/>
      <c r="D7" s="99"/>
      <c r="E7" s="103"/>
      <c r="F7" s="99"/>
    </row>
    <row r="8" spans="2:6" x14ac:dyDescent="0.3">
      <c r="B8" s="99" t="s">
        <v>615</v>
      </c>
      <c r="C8" s="99" t="s">
        <v>619</v>
      </c>
      <c r="D8" s="99" t="s">
        <v>621</v>
      </c>
      <c r="E8" s="104" t="s">
        <v>623</v>
      </c>
      <c r="F8" s="105" t="s">
        <v>812</v>
      </c>
    </row>
    <row r="9" spans="2:6" x14ac:dyDescent="0.3">
      <c r="B9" s="99" t="s">
        <v>603</v>
      </c>
      <c r="C9" s="99" t="s">
        <v>806</v>
      </c>
      <c r="D9" s="99" t="s">
        <v>621</v>
      </c>
      <c r="E9" s="103" t="s">
        <v>623</v>
      </c>
      <c r="F9" s="105" t="s">
        <v>812</v>
      </c>
    </row>
    <row r="10" spans="2:6" x14ac:dyDescent="0.3">
      <c r="B10" s="101" t="s">
        <v>606</v>
      </c>
      <c r="C10" s="101" t="s">
        <v>620</v>
      </c>
      <c r="D10" s="99" t="s">
        <v>622</v>
      </c>
      <c r="E10" s="103" t="s">
        <v>623</v>
      </c>
      <c r="F10" s="105" t="s">
        <v>812</v>
      </c>
    </row>
    <row r="11" spans="2:6" x14ac:dyDescent="0.3">
      <c r="B11" s="99" t="s">
        <v>807</v>
      </c>
      <c r="C11" s="99" t="s">
        <v>808</v>
      </c>
      <c r="D11" s="99" t="s">
        <v>621</v>
      </c>
      <c r="E11" s="103" t="s">
        <v>623</v>
      </c>
      <c r="F11" s="105" t="s">
        <v>813</v>
      </c>
    </row>
    <row r="12" spans="2:6" x14ac:dyDescent="0.3">
      <c r="B12" s="99" t="s">
        <v>815</v>
      </c>
      <c r="C12" s="99"/>
      <c r="D12" s="99" t="s">
        <v>816</v>
      </c>
      <c r="E12" t="s">
        <v>817</v>
      </c>
      <c r="F12" s="105" t="s">
        <v>814</v>
      </c>
    </row>
    <row r="13" spans="2:6" x14ac:dyDescent="0.3">
      <c r="B13" s="99" t="s">
        <v>819</v>
      </c>
      <c r="C13" s="99" t="s">
        <v>820</v>
      </c>
      <c r="D13" s="99" t="s">
        <v>832</v>
      </c>
      <c r="E13" s="103" t="s">
        <v>833</v>
      </c>
      <c r="F13" s="99" t="s">
        <v>425</v>
      </c>
    </row>
    <row r="14" spans="2:6" x14ac:dyDescent="0.3">
      <c r="B14" s="99"/>
      <c r="C14" s="99"/>
      <c r="D14" s="99"/>
      <c r="E14" s="103"/>
      <c r="F14" s="99"/>
    </row>
    <row r="15" spans="2:6" x14ac:dyDescent="0.3">
      <c r="B15" s="99" t="s">
        <v>821</v>
      </c>
      <c r="C15" s="99" t="s">
        <v>289</v>
      </c>
      <c r="D15" s="99" t="s">
        <v>822</v>
      </c>
      <c r="E15" s="103" t="s">
        <v>823</v>
      </c>
      <c r="F15" s="99" t="s">
        <v>824</v>
      </c>
    </row>
    <row r="16" spans="2:6" x14ac:dyDescent="0.3">
      <c r="B16" s="99"/>
      <c r="C16" s="99"/>
      <c r="D16" s="99"/>
      <c r="E16" s="103"/>
      <c r="F16" s="99"/>
    </row>
    <row r="17" spans="2:6" x14ac:dyDescent="0.3">
      <c r="B17" s="99" t="s">
        <v>609</v>
      </c>
      <c r="C17" s="99"/>
      <c r="D17" s="99" t="s">
        <v>611</v>
      </c>
      <c r="E17" s="103" t="s">
        <v>612</v>
      </c>
      <c r="F17" s="99" t="s">
        <v>818</v>
      </c>
    </row>
    <row r="18" spans="2:6" x14ac:dyDescent="0.3">
      <c r="B18" s="99" t="s">
        <v>610</v>
      </c>
      <c r="C18" s="99"/>
      <c r="D18" s="99" t="s">
        <v>611</v>
      </c>
      <c r="E18" s="103" t="s">
        <v>613</v>
      </c>
      <c r="F18" s="99" t="s">
        <v>818</v>
      </c>
    </row>
    <row r="19" spans="2:6" x14ac:dyDescent="0.3">
      <c r="E19" s="12"/>
    </row>
    <row r="20" spans="2:6" x14ac:dyDescent="0.3">
      <c r="E20" s="12"/>
    </row>
    <row r="21" spans="2:6" x14ac:dyDescent="0.3">
      <c r="E21" s="12"/>
    </row>
    <row r="22" spans="2:6" x14ac:dyDescent="0.3">
      <c r="E22" s="12"/>
    </row>
    <row r="23" spans="2:6" x14ac:dyDescent="0.3">
      <c r="E23" s="12"/>
    </row>
    <row r="24" spans="2:6" x14ac:dyDescent="0.3">
      <c r="E24" s="12"/>
    </row>
    <row r="25" spans="2:6" x14ac:dyDescent="0.3">
      <c r="E25" s="1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82D6-F689-4A69-8D2B-240F45FCD66E}">
  <dimension ref="B3:H22"/>
  <sheetViews>
    <sheetView workbookViewId="0">
      <selection activeCell="B3" sqref="B3:G15"/>
    </sheetView>
  </sheetViews>
  <sheetFormatPr defaultRowHeight="14.4" x14ac:dyDescent="0.3"/>
  <cols>
    <col min="2" max="2" width="21" bestFit="1" customWidth="1"/>
    <col min="3" max="3" width="40.109375" bestFit="1" customWidth="1"/>
    <col min="4" max="4" width="18.109375" bestFit="1" customWidth="1"/>
    <col min="5" max="5" width="37.6640625" bestFit="1" customWidth="1"/>
    <col min="6" max="6" width="34.5546875" bestFit="1" customWidth="1"/>
    <col min="7" max="7" width="37.109375" bestFit="1" customWidth="1"/>
    <col min="8" max="8" width="12" bestFit="1" customWidth="1"/>
  </cols>
  <sheetData>
    <row r="3" spans="2:8" x14ac:dyDescent="0.3">
      <c r="B3" s="110" t="s">
        <v>853</v>
      </c>
      <c r="C3" s="110" t="s">
        <v>871</v>
      </c>
      <c r="D3" s="110" t="s">
        <v>48</v>
      </c>
      <c r="E3" s="110" t="s">
        <v>828</v>
      </c>
      <c r="F3" s="110" t="s">
        <v>854</v>
      </c>
      <c r="G3" s="110" t="s">
        <v>840</v>
      </c>
    </row>
    <row r="4" spans="2:8" x14ac:dyDescent="0.3">
      <c r="B4" s="106" t="s">
        <v>825</v>
      </c>
      <c r="C4" s="106" t="s">
        <v>826</v>
      </c>
      <c r="D4" s="106" t="s">
        <v>827</v>
      </c>
      <c r="E4" s="106" t="s">
        <v>829</v>
      </c>
      <c r="F4" s="96" t="s">
        <v>855</v>
      </c>
      <c r="G4" s="107" t="s">
        <v>860</v>
      </c>
      <c r="H4" s="61" t="s">
        <v>1051</v>
      </c>
    </row>
    <row r="5" spans="2:8" ht="16.8" x14ac:dyDescent="0.4">
      <c r="B5" s="106" t="s">
        <v>830</v>
      </c>
      <c r="C5" s="109" t="s">
        <v>831</v>
      </c>
      <c r="D5" s="108" t="s">
        <v>836</v>
      </c>
      <c r="E5" s="106" t="s">
        <v>837</v>
      </c>
      <c r="F5" s="96" t="s">
        <v>856</v>
      </c>
      <c r="G5" s="107" t="s">
        <v>859</v>
      </c>
      <c r="H5" t="s">
        <v>1051</v>
      </c>
    </row>
    <row r="6" spans="2:8" x14ac:dyDescent="0.3">
      <c r="B6" s="106" t="s">
        <v>83</v>
      </c>
      <c r="C6" s="106">
        <v>115085103</v>
      </c>
      <c r="D6" s="106">
        <v>4141</v>
      </c>
      <c r="E6" s="106"/>
      <c r="F6" s="96" t="s">
        <v>857</v>
      </c>
      <c r="G6" s="107" t="s">
        <v>858</v>
      </c>
      <c r="H6" t="s">
        <v>1051</v>
      </c>
    </row>
    <row r="7" spans="2:8" x14ac:dyDescent="0.3">
      <c r="B7" s="106" t="s">
        <v>84</v>
      </c>
      <c r="C7" s="106"/>
      <c r="D7" s="106"/>
      <c r="E7" s="106"/>
      <c r="F7" s="96"/>
      <c r="G7" s="106"/>
    </row>
    <row r="8" spans="2:8" x14ac:dyDescent="0.3">
      <c r="B8" s="106" t="s">
        <v>865</v>
      </c>
      <c r="C8" s="96" t="s">
        <v>866</v>
      </c>
      <c r="D8" s="4" t="s">
        <v>867</v>
      </c>
      <c r="E8" s="106" t="s">
        <v>872</v>
      </c>
      <c r="F8" s="96" t="s">
        <v>868</v>
      </c>
      <c r="G8" s="107" t="s">
        <v>870</v>
      </c>
      <c r="H8" s="130" t="s">
        <v>1051</v>
      </c>
    </row>
    <row r="9" spans="2:8" x14ac:dyDescent="0.3">
      <c r="B9" s="106" t="s">
        <v>844</v>
      </c>
      <c r="C9" s="106" t="s">
        <v>289</v>
      </c>
      <c r="D9" s="106" t="s">
        <v>845</v>
      </c>
      <c r="E9" s="106"/>
      <c r="F9" s="96" t="s">
        <v>869</v>
      </c>
      <c r="G9" s="107" t="s">
        <v>843</v>
      </c>
      <c r="H9" s="131" t="s">
        <v>1051</v>
      </c>
    </row>
    <row r="10" spans="2:8" x14ac:dyDescent="0.3">
      <c r="B10" s="106" t="s">
        <v>838</v>
      </c>
      <c r="C10" s="106" t="s">
        <v>839</v>
      </c>
      <c r="D10" s="106" t="s">
        <v>49</v>
      </c>
      <c r="E10" s="106" t="s">
        <v>837</v>
      </c>
      <c r="F10" s="96" t="s">
        <v>842</v>
      </c>
      <c r="G10" s="107" t="s">
        <v>841</v>
      </c>
      <c r="H10" s="131" t="s">
        <v>1051</v>
      </c>
    </row>
    <row r="11" spans="2:8" x14ac:dyDescent="0.3">
      <c r="B11" s="106" t="s">
        <v>851</v>
      </c>
      <c r="C11" s="106" t="s">
        <v>839</v>
      </c>
      <c r="D11" s="108" t="s">
        <v>852</v>
      </c>
      <c r="E11" s="106"/>
      <c r="F11" s="96" t="s">
        <v>850</v>
      </c>
      <c r="G11" s="107" t="s">
        <v>849</v>
      </c>
    </row>
    <row r="12" spans="2:8" x14ac:dyDescent="0.3">
      <c r="B12" s="106" t="s">
        <v>846</v>
      </c>
      <c r="C12" s="106" t="s">
        <v>839</v>
      </c>
      <c r="D12" s="108" t="s">
        <v>49</v>
      </c>
      <c r="E12" s="106" t="s">
        <v>1032</v>
      </c>
      <c r="F12" s="96" t="s">
        <v>847</v>
      </c>
      <c r="G12" s="107" t="s">
        <v>848</v>
      </c>
    </row>
    <row r="13" spans="2:8" x14ac:dyDescent="0.3">
      <c r="B13" s="106" t="s">
        <v>863</v>
      </c>
      <c r="C13" s="61" t="s">
        <v>839</v>
      </c>
      <c r="D13" s="108" t="s">
        <v>864</v>
      </c>
      <c r="E13" s="106"/>
      <c r="F13" s="106" t="s">
        <v>862</v>
      </c>
      <c r="G13" s="126" t="s">
        <v>861</v>
      </c>
    </row>
    <row r="14" spans="2:8" x14ac:dyDescent="0.3">
      <c r="B14" s="106" t="s">
        <v>873</v>
      </c>
      <c r="C14" s="106" t="s">
        <v>874</v>
      </c>
      <c r="D14" s="108" t="s">
        <v>877</v>
      </c>
      <c r="E14" s="106"/>
      <c r="F14" s="106" t="s">
        <v>875</v>
      </c>
      <c r="G14" s="107" t="s">
        <v>876</v>
      </c>
    </row>
    <row r="15" spans="2:8" x14ac:dyDescent="0.3">
      <c r="B15" s="106" t="s">
        <v>1033</v>
      </c>
      <c r="C15" s="106" t="s">
        <v>1034</v>
      </c>
      <c r="D15" s="108" t="s">
        <v>1035</v>
      </c>
      <c r="E15" s="106" t="s">
        <v>837</v>
      </c>
      <c r="F15" s="106" t="s">
        <v>1036</v>
      </c>
      <c r="G15" s="107" t="s">
        <v>1037</v>
      </c>
    </row>
    <row r="16" spans="2:8" x14ac:dyDescent="0.3">
      <c r="B16" s="106"/>
      <c r="C16" s="106"/>
      <c r="D16" s="108"/>
      <c r="E16" s="106"/>
      <c r="F16" s="106"/>
      <c r="G16" s="106"/>
    </row>
    <row r="17" spans="2:7" x14ac:dyDescent="0.3">
      <c r="B17" s="106"/>
      <c r="C17" s="106"/>
      <c r="D17" s="108"/>
      <c r="E17" s="106"/>
      <c r="F17" s="106"/>
      <c r="G17" s="106"/>
    </row>
    <row r="18" spans="2:7" x14ac:dyDescent="0.3">
      <c r="B18" s="106"/>
      <c r="C18" s="106"/>
      <c r="D18" s="108"/>
      <c r="E18" s="106"/>
      <c r="F18" s="106"/>
      <c r="G18" s="106"/>
    </row>
    <row r="19" spans="2:7" x14ac:dyDescent="0.3">
      <c r="B19" s="106"/>
      <c r="C19" s="106"/>
      <c r="D19" s="108"/>
      <c r="E19" s="106"/>
      <c r="F19" s="106"/>
      <c r="G19" s="106"/>
    </row>
    <row r="20" spans="2:7" x14ac:dyDescent="0.3">
      <c r="B20" s="106"/>
      <c r="C20" s="106"/>
      <c r="D20" s="108"/>
      <c r="E20" s="106"/>
      <c r="F20" s="106"/>
      <c r="G20" s="106"/>
    </row>
    <row r="21" spans="2:7" x14ac:dyDescent="0.3">
      <c r="D21" s="12"/>
    </row>
    <row r="22" spans="2:7" x14ac:dyDescent="0.3">
      <c r="D22" s="12"/>
    </row>
  </sheetData>
  <hyperlinks>
    <hyperlink ref="G10" r:id="rId1" display="https://gravityzone.bitdefender.com/" xr:uid="{421A07E4-77D9-4933-8F12-D92E7D93D000}"/>
    <hyperlink ref="G9" r:id="rId2" display="https://cloud10.baldussi.com.br/suite/" xr:uid="{BAE8FC24-49E1-4AE4-992A-1D89583232B9}"/>
    <hyperlink ref="G12" r:id="rId3" display="https://clientes.penso.com.br/login" xr:uid="{8679098D-0504-4B10-A687-541708CF5EE8}"/>
    <hyperlink ref="G11" r:id="rId4" location="/sign-in" display="https://id.avast.com/sso - /sign-in" xr:uid="{A20B7552-51D1-4874-BFE9-6471DC6D9745}"/>
    <hyperlink ref="G6" r:id="rId5" xr:uid="{7D032C79-7132-4D48-845A-900C2DBB460A}"/>
    <hyperlink ref="G5" r:id="rId6" xr:uid="{E51F8B21-8DC9-460E-B954-38A0440199AF}"/>
    <hyperlink ref="G4" r:id="rId7" xr:uid="{01907795-BEA3-49B0-9BD2-D15CE7DA749E}"/>
    <hyperlink ref="G13" r:id="rId8" location="/login" display="http://cloud.makrolock.com.br:13355/ - /login" xr:uid="{0316299A-25A4-41E4-9852-66551A6F2541}"/>
    <hyperlink ref="G8" r:id="rId9" xr:uid="{1BD30ED7-DB05-488D-9C3B-8E8694C59B5C}"/>
    <hyperlink ref="G14" r:id="rId10" xr:uid="{A42EEE2F-6F90-457D-8E65-2C24618EA4EC}"/>
    <hyperlink ref="G15" r:id="rId11" xr:uid="{5AE27266-BDC1-4AAF-A5D8-ECE79DE41CCF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164-3D09-4FC2-91DA-4F40DB41171D}">
  <dimension ref="B4:L14"/>
  <sheetViews>
    <sheetView workbookViewId="0">
      <selection activeCell="L13" sqref="L13"/>
    </sheetView>
  </sheetViews>
  <sheetFormatPr defaultRowHeight="14.4" x14ac:dyDescent="0.3"/>
  <cols>
    <col min="2" max="2" width="13.44140625" bestFit="1" customWidth="1"/>
    <col min="3" max="3" width="13.88671875" bestFit="1" customWidth="1"/>
    <col min="4" max="4" width="17.44140625" bestFit="1" customWidth="1"/>
    <col min="5" max="5" width="9" bestFit="1" customWidth="1"/>
    <col min="6" max="6" width="18.109375" bestFit="1" customWidth="1"/>
    <col min="7" max="7" width="5.6640625" bestFit="1" customWidth="1"/>
    <col min="8" max="8" width="16.88671875" bestFit="1" customWidth="1"/>
    <col min="9" max="9" width="20.44140625" bestFit="1" customWidth="1"/>
    <col min="10" max="10" width="12.5546875" bestFit="1" customWidth="1"/>
    <col min="11" max="11" width="9" bestFit="1" customWidth="1"/>
    <col min="12" max="12" width="11.5546875" bestFit="1" customWidth="1"/>
  </cols>
  <sheetData>
    <row r="4" spans="2:12" x14ac:dyDescent="0.3">
      <c r="B4" s="96" t="s">
        <v>728</v>
      </c>
      <c r="C4" s="96" t="s">
        <v>729</v>
      </c>
      <c r="D4" s="96" t="s">
        <v>730</v>
      </c>
      <c r="E4" s="96" t="s">
        <v>174</v>
      </c>
      <c r="F4" s="96" t="s">
        <v>48</v>
      </c>
      <c r="G4" s="96" t="s">
        <v>731</v>
      </c>
      <c r="H4" s="96" t="s">
        <v>18</v>
      </c>
      <c r="I4" s="96" t="s">
        <v>732</v>
      </c>
      <c r="J4" s="96" t="s">
        <v>48</v>
      </c>
      <c r="K4" s="96" t="s">
        <v>85</v>
      </c>
      <c r="L4" s="96" t="s">
        <v>733</v>
      </c>
    </row>
    <row r="5" spans="2:12" ht="28.8" x14ac:dyDescent="0.3">
      <c r="B5" s="97" t="s">
        <v>734</v>
      </c>
      <c r="C5" s="96" t="s">
        <v>735</v>
      </c>
      <c r="D5" s="96" t="s">
        <v>736</v>
      </c>
      <c r="E5" s="96" t="s">
        <v>611</v>
      </c>
      <c r="F5" s="98" t="s">
        <v>737</v>
      </c>
      <c r="G5" s="96"/>
      <c r="H5" s="96" t="s">
        <v>738</v>
      </c>
      <c r="I5" s="96" t="s">
        <v>739</v>
      </c>
      <c r="J5" s="96" t="s">
        <v>740</v>
      </c>
      <c r="K5" s="96">
        <v>81345816</v>
      </c>
      <c r="L5" s="96" t="s">
        <v>741</v>
      </c>
    </row>
    <row r="6" spans="2:12" ht="28.8" x14ac:dyDescent="0.3">
      <c r="B6" s="97" t="s">
        <v>734</v>
      </c>
      <c r="C6" s="96" t="s">
        <v>742</v>
      </c>
      <c r="D6" s="96" t="s">
        <v>743</v>
      </c>
      <c r="E6" s="96" t="s">
        <v>611</v>
      </c>
      <c r="F6" s="98" t="s">
        <v>737</v>
      </c>
      <c r="G6" s="96"/>
      <c r="H6" s="97" t="s">
        <v>744</v>
      </c>
      <c r="I6" s="96" t="s">
        <v>745</v>
      </c>
      <c r="J6" s="96" t="s">
        <v>740</v>
      </c>
      <c r="K6" s="96">
        <v>63489286</v>
      </c>
      <c r="L6" s="96" t="s">
        <v>746</v>
      </c>
    </row>
    <row r="7" spans="2:12" ht="28.8" x14ac:dyDescent="0.3">
      <c r="B7" s="97" t="s">
        <v>734</v>
      </c>
      <c r="C7" s="96" t="s">
        <v>747</v>
      </c>
      <c r="D7" s="96" t="s">
        <v>748</v>
      </c>
      <c r="E7" s="96" t="s">
        <v>611</v>
      </c>
      <c r="F7" s="98" t="s">
        <v>737</v>
      </c>
      <c r="G7" s="96"/>
      <c r="H7" s="96" t="s">
        <v>749</v>
      </c>
      <c r="I7" s="96" t="s">
        <v>750</v>
      </c>
      <c r="J7" s="96" t="s">
        <v>740</v>
      </c>
      <c r="K7" s="96">
        <v>10241158</v>
      </c>
      <c r="L7" s="96" t="s">
        <v>751</v>
      </c>
    </row>
    <row r="8" spans="2:12" ht="28.8" x14ac:dyDescent="0.3">
      <c r="B8" s="97" t="s">
        <v>734</v>
      </c>
      <c r="C8" s="96" t="s">
        <v>752</v>
      </c>
      <c r="D8" s="96" t="s">
        <v>753</v>
      </c>
      <c r="E8" s="96" t="s">
        <v>611</v>
      </c>
      <c r="F8" s="98" t="s">
        <v>737</v>
      </c>
      <c r="G8" s="96"/>
      <c r="H8" s="96" t="s">
        <v>199</v>
      </c>
      <c r="I8" s="96" t="s">
        <v>754</v>
      </c>
      <c r="J8" s="98" t="s">
        <v>740</v>
      </c>
      <c r="K8" s="96">
        <v>24548366</v>
      </c>
      <c r="L8" s="96" t="s">
        <v>755</v>
      </c>
    </row>
    <row r="9" spans="2:12" ht="28.8" x14ac:dyDescent="0.3">
      <c r="B9" s="97" t="s">
        <v>734</v>
      </c>
      <c r="C9" s="96"/>
      <c r="D9" s="96"/>
      <c r="E9" s="96" t="s">
        <v>611</v>
      </c>
      <c r="F9" s="98" t="s">
        <v>737</v>
      </c>
      <c r="G9" s="96"/>
      <c r="H9" s="96" t="s">
        <v>36</v>
      </c>
      <c r="I9" s="96" t="s">
        <v>756</v>
      </c>
      <c r="J9" s="96" t="s">
        <v>740</v>
      </c>
      <c r="K9" s="96"/>
      <c r="L9" s="96"/>
    </row>
    <row r="10" spans="2:12" ht="28.8" x14ac:dyDescent="0.3">
      <c r="B10" s="97" t="s">
        <v>757</v>
      </c>
      <c r="C10" s="96" t="s">
        <v>758</v>
      </c>
      <c r="D10" s="96"/>
      <c r="E10" s="96" t="s">
        <v>611</v>
      </c>
      <c r="F10" s="98" t="s">
        <v>737</v>
      </c>
      <c r="G10" s="96"/>
      <c r="H10" s="96" t="s">
        <v>759</v>
      </c>
      <c r="I10" s="96" t="s">
        <v>760</v>
      </c>
      <c r="J10" s="96"/>
      <c r="K10" s="96"/>
      <c r="L10" s="96"/>
    </row>
    <row r="11" spans="2:12" ht="28.8" x14ac:dyDescent="0.3">
      <c r="B11" s="97" t="s">
        <v>761</v>
      </c>
      <c r="C11" s="96" t="s">
        <v>762</v>
      </c>
      <c r="D11" s="96" t="s">
        <v>763</v>
      </c>
      <c r="E11" s="96" t="s">
        <v>611</v>
      </c>
      <c r="F11" s="98" t="s">
        <v>764</v>
      </c>
      <c r="G11" s="96"/>
      <c r="H11" s="96" t="s">
        <v>200</v>
      </c>
      <c r="I11" s="96" t="s">
        <v>765</v>
      </c>
      <c r="J11" s="96" t="s">
        <v>766</v>
      </c>
      <c r="K11" s="96">
        <v>91268402</v>
      </c>
      <c r="L11" s="96" t="s">
        <v>767</v>
      </c>
    </row>
    <row r="12" spans="2:12" ht="28.8" x14ac:dyDescent="0.3">
      <c r="B12" s="97" t="s">
        <v>761</v>
      </c>
      <c r="C12" s="96" t="s">
        <v>768</v>
      </c>
      <c r="D12" s="96" t="s">
        <v>769</v>
      </c>
      <c r="E12" s="96" t="s">
        <v>611</v>
      </c>
      <c r="F12" s="98" t="s">
        <v>764</v>
      </c>
      <c r="G12" s="96"/>
      <c r="H12" s="96" t="s">
        <v>106</v>
      </c>
      <c r="I12" s="96" t="s">
        <v>770</v>
      </c>
      <c r="J12" s="96" t="s">
        <v>771</v>
      </c>
      <c r="K12" s="96">
        <v>59243458</v>
      </c>
      <c r="L12" s="96" t="s">
        <v>772</v>
      </c>
    </row>
    <row r="13" spans="2:12" ht="28.8" x14ac:dyDescent="0.3">
      <c r="B13" s="97" t="s">
        <v>761</v>
      </c>
      <c r="C13" s="96" t="s">
        <v>773</v>
      </c>
      <c r="D13" s="96" t="s">
        <v>774</v>
      </c>
      <c r="E13" s="96" t="s">
        <v>611</v>
      </c>
      <c r="F13" s="98" t="s">
        <v>764</v>
      </c>
      <c r="G13" s="96"/>
      <c r="H13" s="96" t="s">
        <v>79</v>
      </c>
      <c r="I13" s="96" t="s">
        <v>775</v>
      </c>
      <c r="J13" s="96" t="s">
        <v>771</v>
      </c>
      <c r="K13" s="96">
        <v>55997577</v>
      </c>
      <c r="L13" s="96"/>
    </row>
    <row r="14" spans="2:12" ht="28.8" x14ac:dyDescent="0.3">
      <c r="B14" s="97" t="s">
        <v>757</v>
      </c>
      <c r="C14" s="96"/>
      <c r="D14" s="96"/>
      <c r="E14" s="96" t="s">
        <v>611</v>
      </c>
      <c r="F14" s="96"/>
      <c r="G14" s="96"/>
      <c r="H14" s="96" t="s">
        <v>776</v>
      </c>
      <c r="I14" s="96" t="s">
        <v>777</v>
      </c>
      <c r="J14" s="96"/>
      <c r="K14" s="96"/>
      <c r="L14" s="96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8ED8-0563-41C4-B811-2324E033037A}">
  <sheetPr filterMode="1"/>
  <dimension ref="B2:U22"/>
  <sheetViews>
    <sheetView tabSelected="1" workbookViewId="0">
      <selection activeCell="O20" sqref="O20:O22"/>
    </sheetView>
  </sheetViews>
  <sheetFormatPr defaultRowHeight="14.4" x14ac:dyDescent="0.3"/>
  <cols>
    <col min="2" max="2" width="5.5546875" bestFit="1" customWidth="1"/>
    <col min="3" max="3" width="17.6640625" bestFit="1" customWidth="1"/>
    <col min="4" max="4" width="26.44140625" bestFit="1" customWidth="1"/>
    <col min="5" max="5" width="10" hidden="1" customWidth="1"/>
    <col min="6" max="6" width="18.5546875" hidden="1" customWidth="1"/>
    <col min="7" max="7" width="49.33203125" bestFit="1" customWidth="1"/>
    <col min="8" max="8" width="25.33203125" hidden="1" customWidth="1"/>
    <col min="9" max="9" width="21.33203125" hidden="1" customWidth="1"/>
    <col min="10" max="10" width="23" hidden="1" customWidth="1"/>
    <col min="11" max="11" width="19" hidden="1" customWidth="1"/>
    <col min="12" max="12" width="25" bestFit="1" customWidth="1"/>
    <col min="13" max="13" width="22.5546875" bestFit="1" customWidth="1"/>
    <col min="14" max="14" width="43.44140625" bestFit="1" customWidth="1"/>
    <col min="15" max="15" width="21.33203125" bestFit="1" customWidth="1"/>
    <col min="16" max="16" width="20.88671875" bestFit="1" customWidth="1"/>
    <col min="17" max="17" width="25.5546875" bestFit="1" customWidth="1"/>
    <col min="18" max="18" width="8.6640625" bestFit="1" customWidth="1"/>
    <col min="19" max="19" width="27" bestFit="1" customWidth="1"/>
    <col min="20" max="20" width="12.109375" bestFit="1" customWidth="1"/>
    <col min="21" max="21" width="101.6640625" bestFit="1" customWidth="1"/>
  </cols>
  <sheetData>
    <row r="2" spans="2:21" x14ac:dyDescent="0.3">
      <c r="B2" s="99" t="s">
        <v>144</v>
      </c>
      <c r="C2" s="106" t="s">
        <v>934</v>
      </c>
      <c r="D2" s="106" t="s">
        <v>935</v>
      </c>
      <c r="E2" s="106" t="s">
        <v>936</v>
      </c>
      <c r="F2" s="106" t="s">
        <v>937</v>
      </c>
      <c r="G2" s="106" t="s">
        <v>938</v>
      </c>
      <c r="H2" s="106" t="s">
        <v>989</v>
      </c>
      <c r="I2" s="106" t="s">
        <v>993</v>
      </c>
      <c r="J2" s="106" t="s">
        <v>990</v>
      </c>
      <c r="K2" s="106" t="s">
        <v>994</v>
      </c>
      <c r="L2" s="106" t="s">
        <v>939</v>
      </c>
      <c r="M2" s="106" t="s">
        <v>940</v>
      </c>
      <c r="N2" s="106" t="s">
        <v>941</v>
      </c>
      <c r="O2" s="106" t="s">
        <v>942</v>
      </c>
      <c r="P2" s="106" t="s">
        <v>943</v>
      </c>
      <c r="Q2" s="106" t="s">
        <v>944</v>
      </c>
      <c r="R2" s="106" t="s">
        <v>945</v>
      </c>
      <c r="S2" s="106" t="s">
        <v>946</v>
      </c>
      <c r="T2" s="106" t="s">
        <v>34</v>
      </c>
      <c r="U2" s="106" t="s">
        <v>96</v>
      </c>
    </row>
    <row r="3" spans="2:21" x14ac:dyDescent="0.3">
      <c r="B3" s="99"/>
      <c r="C3" s="99" t="s">
        <v>947</v>
      </c>
      <c r="D3" s="99" t="s">
        <v>948</v>
      </c>
      <c r="E3" s="99"/>
      <c r="F3" s="99"/>
      <c r="G3" s="99" t="s">
        <v>949</v>
      </c>
      <c r="H3" s="101" t="s">
        <v>1028</v>
      </c>
      <c r="I3" s="99" t="s">
        <v>1027</v>
      </c>
      <c r="J3" s="99" t="s">
        <v>1029</v>
      </c>
      <c r="K3" s="99" t="s">
        <v>1030</v>
      </c>
      <c r="L3" s="123"/>
      <c r="M3" s="123"/>
      <c r="N3" s="99" t="str">
        <f t="shared" ref="N3:N22" ca="1" si="0">IF(M3&lt;&gt;"",M3-TODAY(),"")</f>
        <v/>
      </c>
      <c r="O3" s="124"/>
      <c r="P3" s="96" t="s">
        <v>950</v>
      </c>
      <c r="Q3" s="125"/>
      <c r="R3" s="99"/>
      <c r="S3" s="99"/>
      <c r="T3" s="99"/>
      <c r="U3" s="99"/>
    </row>
    <row r="4" spans="2:21" x14ac:dyDescent="0.3">
      <c r="B4" s="99"/>
      <c r="C4" s="99" t="s">
        <v>951</v>
      </c>
      <c r="D4" s="99" t="s">
        <v>948</v>
      </c>
      <c r="E4" s="99"/>
      <c r="F4" s="99"/>
      <c r="G4" s="99" t="s">
        <v>952</v>
      </c>
      <c r="H4" s="99" t="s">
        <v>1025</v>
      </c>
      <c r="I4" s="99"/>
      <c r="J4" s="99"/>
      <c r="K4" s="99"/>
      <c r="L4" s="99"/>
      <c r="M4" s="99"/>
      <c r="N4" s="99" t="str">
        <f t="shared" ca="1" si="0"/>
        <v/>
      </c>
      <c r="O4" s="124"/>
      <c r="P4" s="96" t="s">
        <v>950</v>
      </c>
      <c r="Q4" s="125"/>
      <c r="R4" s="99"/>
      <c r="S4" s="99"/>
      <c r="T4" s="99" t="s">
        <v>953</v>
      </c>
      <c r="U4" s="99"/>
    </row>
    <row r="5" spans="2:21" x14ac:dyDescent="0.3">
      <c r="B5" s="99"/>
      <c r="C5" s="99" t="s">
        <v>954</v>
      </c>
      <c r="D5" s="99" t="s">
        <v>948</v>
      </c>
      <c r="E5" s="99"/>
      <c r="F5" s="99"/>
      <c r="G5" s="99" t="s">
        <v>955</v>
      </c>
      <c r="H5" s="99" t="s">
        <v>1026</v>
      </c>
      <c r="I5" s="99"/>
      <c r="J5" s="99"/>
      <c r="K5" s="99"/>
      <c r="L5" s="99"/>
      <c r="M5" s="99"/>
      <c r="N5" s="99" t="str">
        <f t="shared" ca="1" si="0"/>
        <v/>
      </c>
      <c r="O5" s="124"/>
      <c r="P5" s="96" t="s">
        <v>950</v>
      </c>
      <c r="Q5" s="125"/>
      <c r="R5" s="99"/>
      <c r="S5" s="99"/>
      <c r="T5" s="99" t="s">
        <v>953</v>
      </c>
      <c r="U5" s="99"/>
    </row>
    <row r="6" spans="2:21" x14ac:dyDescent="0.3">
      <c r="B6" s="99"/>
      <c r="C6" s="99" t="s">
        <v>956</v>
      </c>
      <c r="D6" s="99" t="s">
        <v>957</v>
      </c>
      <c r="E6" s="99"/>
      <c r="F6" s="99"/>
      <c r="G6" s="99" t="s">
        <v>958</v>
      </c>
      <c r="H6" s="99" t="s">
        <v>991</v>
      </c>
      <c r="I6" s="99"/>
      <c r="J6" s="99" t="s">
        <v>991</v>
      </c>
      <c r="K6" s="99"/>
      <c r="L6" s="123">
        <v>45736</v>
      </c>
      <c r="M6" s="123">
        <v>46100</v>
      </c>
      <c r="N6" s="99">
        <f t="shared" ref="N6" ca="1" si="1">IF(M6&lt;&gt;"",M6-TODAY(),"")</f>
        <v>141</v>
      </c>
      <c r="O6" s="124">
        <v>1158.6099999999999</v>
      </c>
      <c r="P6" s="96" t="s">
        <v>959</v>
      </c>
      <c r="Q6" s="125">
        <v>1222.0999999999999</v>
      </c>
      <c r="R6" s="99"/>
      <c r="S6" s="99"/>
      <c r="T6" s="99"/>
      <c r="U6" s="99"/>
    </row>
    <row r="7" spans="2:21" x14ac:dyDescent="0.3">
      <c r="B7" s="99"/>
      <c r="C7" s="99" t="s">
        <v>956</v>
      </c>
      <c r="D7" s="99" t="s">
        <v>960</v>
      </c>
      <c r="E7" s="99"/>
      <c r="F7" s="99"/>
      <c r="G7" s="99" t="s">
        <v>961</v>
      </c>
      <c r="H7" s="99" t="s">
        <v>991</v>
      </c>
      <c r="I7" s="99"/>
      <c r="J7" s="99" t="s">
        <v>991</v>
      </c>
      <c r="K7" s="99"/>
      <c r="L7" s="123">
        <v>45736</v>
      </c>
      <c r="M7" s="123">
        <v>45735</v>
      </c>
      <c r="N7" s="99">
        <f t="shared" ca="1" si="0"/>
        <v>-224</v>
      </c>
      <c r="O7" s="124">
        <v>126</v>
      </c>
      <c r="P7" s="96" t="s">
        <v>959</v>
      </c>
      <c r="Q7" s="125"/>
      <c r="R7" s="99"/>
      <c r="S7" s="99"/>
      <c r="T7" s="99"/>
      <c r="U7" s="99"/>
    </row>
    <row r="8" spans="2:21" x14ac:dyDescent="0.3">
      <c r="B8" s="99"/>
      <c r="C8" s="99" t="s">
        <v>962</v>
      </c>
      <c r="D8" s="99" t="s">
        <v>963</v>
      </c>
      <c r="E8" s="99"/>
      <c r="F8" s="99"/>
      <c r="G8" s="99" t="s">
        <v>964</v>
      </c>
      <c r="H8" s="99" t="s">
        <v>991</v>
      </c>
      <c r="I8" s="99"/>
      <c r="J8" s="99" t="s">
        <v>991</v>
      </c>
      <c r="K8" s="99"/>
      <c r="L8" s="123">
        <v>45845</v>
      </c>
      <c r="M8" s="123">
        <v>46575</v>
      </c>
      <c r="N8" s="99">
        <f t="shared" ca="1" si="0"/>
        <v>616</v>
      </c>
      <c r="O8" s="124"/>
      <c r="P8" s="96" t="s">
        <v>959</v>
      </c>
      <c r="Q8" s="125"/>
      <c r="R8" s="99"/>
      <c r="S8" s="99"/>
      <c r="T8" s="99"/>
      <c r="U8" s="99"/>
    </row>
    <row r="9" spans="2:21" x14ac:dyDescent="0.3">
      <c r="B9" s="128"/>
      <c r="C9" s="99" t="s">
        <v>965</v>
      </c>
      <c r="D9" s="99" t="s">
        <v>966</v>
      </c>
      <c r="E9" s="99"/>
      <c r="F9" s="99"/>
      <c r="G9" s="99" t="s">
        <v>967</v>
      </c>
      <c r="H9" s="99" t="s">
        <v>1021</v>
      </c>
      <c r="I9" s="99" t="s">
        <v>1022</v>
      </c>
      <c r="J9" s="99" t="s">
        <v>1023</v>
      </c>
      <c r="K9" s="99" t="s">
        <v>1024</v>
      </c>
      <c r="L9" s="123">
        <v>45763</v>
      </c>
      <c r="M9" s="123">
        <v>46859</v>
      </c>
      <c r="N9" s="99">
        <f t="shared" ca="1" si="0"/>
        <v>900</v>
      </c>
      <c r="O9" s="124">
        <v>904.4</v>
      </c>
      <c r="P9" s="96" t="s">
        <v>950</v>
      </c>
      <c r="Q9" s="125"/>
      <c r="R9" s="99"/>
      <c r="S9" s="99"/>
      <c r="T9" s="99"/>
      <c r="U9" s="99"/>
    </row>
    <row r="10" spans="2:21" x14ac:dyDescent="0.3">
      <c r="B10" s="99"/>
      <c r="C10" s="99" t="s">
        <v>968</v>
      </c>
      <c r="D10" s="99" t="s">
        <v>969</v>
      </c>
      <c r="E10" s="99"/>
      <c r="F10" s="99"/>
      <c r="G10" s="99" t="s">
        <v>970</v>
      </c>
      <c r="H10" s="99" t="s">
        <v>1018</v>
      </c>
      <c r="I10" s="99" t="s">
        <v>1019</v>
      </c>
      <c r="J10" s="99" t="s">
        <v>996</v>
      </c>
      <c r="K10" s="99" t="s">
        <v>1020</v>
      </c>
      <c r="L10" s="123">
        <v>45601</v>
      </c>
      <c r="M10" s="99"/>
      <c r="N10" s="99" t="str">
        <f t="shared" ca="1" si="0"/>
        <v/>
      </c>
      <c r="O10" s="124">
        <v>950</v>
      </c>
      <c r="P10" s="96" t="s">
        <v>950</v>
      </c>
      <c r="Q10" s="125"/>
      <c r="R10" s="99"/>
      <c r="S10" s="99"/>
      <c r="T10" s="99"/>
      <c r="U10" s="99"/>
    </row>
    <row r="11" spans="2:21" x14ac:dyDescent="0.3">
      <c r="B11" s="99"/>
      <c r="C11" s="99" t="s">
        <v>83</v>
      </c>
      <c r="D11" s="99" t="s">
        <v>972</v>
      </c>
      <c r="E11" s="99"/>
      <c r="F11" s="99"/>
      <c r="G11" s="99" t="s">
        <v>973</v>
      </c>
      <c r="H11" s="99" t="s">
        <v>1012</v>
      </c>
      <c r="I11" s="99" t="s">
        <v>1013</v>
      </c>
      <c r="J11" s="99" t="s">
        <v>1012</v>
      </c>
      <c r="K11" s="99" t="s">
        <v>1013</v>
      </c>
      <c r="L11" s="99"/>
      <c r="M11" s="99"/>
      <c r="N11" s="99" t="str">
        <f t="shared" ca="1" si="0"/>
        <v/>
      </c>
      <c r="O11" s="124"/>
      <c r="P11" s="96" t="s">
        <v>950</v>
      </c>
      <c r="Q11" s="125"/>
      <c r="R11" s="99"/>
      <c r="S11" s="99"/>
      <c r="T11" s="99"/>
      <c r="U11" s="99"/>
    </row>
    <row r="12" spans="2:21" x14ac:dyDescent="0.3">
      <c r="B12" s="99"/>
      <c r="C12" s="99" t="s">
        <v>974</v>
      </c>
      <c r="D12" s="99" t="s">
        <v>972</v>
      </c>
      <c r="E12" s="99"/>
      <c r="F12" s="99"/>
      <c r="G12" s="99" t="s">
        <v>973</v>
      </c>
      <c r="H12" s="99" t="s">
        <v>1010</v>
      </c>
      <c r="I12" s="99" t="s">
        <v>1011</v>
      </c>
      <c r="J12" s="99" t="s">
        <v>1010</v>
      </c>
      <c r="K12" s="99" t="s">
        <v>1011</v>
      </c>
      <c r="L12" s="99"/>
      <c r="M12" s="99"/>
      <c r="N12" s="99" t="str">
        <f t="shared" ca="1" si="0"/>
        <v/>
      </c>
      <c r="O12" s="124"/>
      <c r="P12" s="96" t="s">
        <v>950</v>
      </c>
      <c r="Q12" s="125"/>
      <c r="R12" s="99"/>
      <c r="S12" s="99"/>
      <c r="T12" s="99"/>
      <c r="U12" s="99"/>
    </row>
    <row r="13" spans="2:21" x14ac:dyDescent="0.3">
      <c r="B13" s="99"/>
      <c r="C13" s="99" t="s">
        <v>975</v>
      </c>
      <c r="D13" s="99" t="s">
        <v>976</v>
      </c>
      <c r="E13" s="99"/>
      <c r="F13" s="99"/>
      <c r="G13" s="99" t="s">
        <v>977</v>
      </c>
      <c r="H13" s="99" t="s">
        <v>975</v>
      </c>
      <c r="I13" s="99" t="s">
        <v>1009</v>
      </c>
      <c r="J13" s="99" t="s">
        <v>975</v>
      </c>
      <c r="K13" s="99" t="s">
        <v>1009</v>
      </c>
      <c r="L13" s="99"/>
      <c r="M13" s="99"/>
      <c r="N13" s="99" t="str">
        <f t="shared" ca="1" si="0"/>
        <v/>
      </c>
      <c r="O13" s="124"/>
      <c r="P13" s="96" t="s">
        <v>959</v>
      </c>
      <c r="Q13" s="125"/>
      <c r="R13" s="99"/>
      <c r="S13" s="99"/>
      <c r="T13" s="99"/>
      <c r="U13" s="99"/>
    </row>
    <row r="14" spans="2:21" x14ac:dyDescent="0.3">
      <c r="B14" s="99"/>
      <c r="C14" s="99" t="s">
        <v>978</v>
      </c>
      <c r="D14" s="99" t="s">
        <v>979</v>
      </c>
      <c r="E14" s="99"/>
      <c r="F14" s="99"/>
      <c r="G14" s="99" t="s">
        <v>980</v>
      </c>
      <c r="H14" s="99" t="s">
        <v>991</v>
      </c>
      <c r="I14" s="99"/>
      <c r="J14" s="99" t="s">
        <v>991</v>
      </c>
      <c r="K14" s="99"/>
      <c r="L14" s="99"/>
      <c r="M14" s="99"/>
      <c r="N14" s="99" t="str">
        <f t="shared" ca="1" si="0"/>
        <v/>
      </c>
      <c r="O14" s="124"/>
      <c r="P14" s="96" t="s">
        <v>959</v>
      </c>
      <c r="Q14" s="125"/>
      <c r="R14" s="99"/>
      <c r="S14" s="99"/>
      <c r="T14" s="99"/>
      <c r="U14" s="99"/>
    </row>
    <row r="15" spans="2:21" x14ac:dyDescent="0.3">
      <c r="B15" s="127"/>
      <c r="C15" s="99" t="s">
        <v>616</v>
      </c>
      <c r="D15" s="99" t="s">
        <v>981</v>
      </c>
      <c r="E15" s="99"/>
      <c r="F15" s="99"/>
      <c r="G15" s="99" t="s">
        <v>982</v>
      </c>
      <c r="H15" s="99" t="s">
        <v>1005</v>
      </c>
      <c r="I15" s="99" t="s">
        <v>1006</v>
      </c>
      <c r="J15" s="99" t="s">
        <v>1007</v>
      </c>
      <c r="K15" s="99" t="s">
        <v>1008</v>
      </c>
      <c r="L15" s="99"/>
      <c r="M15" s="99"/>
      <c r="N15" s="99" t="str">
        <f t="shared" ca="1" si="0"/>
        <v/>
      </c>
      <c r="O15" s="124"/>
      <c r="P15" s="96" t="s">
        <v>950</v>
      </c>
      <c r="Q15" s="125"/>
      <c r="R15" s="99"/>
      <c r="S15" s="99"/>
      <c r="T15" s="99"/>
      <c r="U15" s="99"/>
    </row>
    <row r="16" spans="2:21" x14ac:dyDescent="0.3">
      <c r="B16" s="99"/>
      <c r="C16" s="99" t="s">
        <v>861</v>
      </c>
      <c r="D16" s="99" t="s">
        <v>983</v>
      </c>
      <c r="E16" s="99"/>
      <c r="F16" s="99"/>
      <c r="G16" s="99" t="s">
        <v>984</v>
      </c>
      <c r="H16" s="99" t="s">
        <v>1001</v>
      </c>
      <c r="I16" s="99" t="s">
        <v>1004</v>
      </c>
      <c r="J16" s="99" t="s">
        <v>1002</v>
      </c>
      <c r="K16" s="99" t="s">
        <v>1003</v>
      </c>
      <c r="L16" s="99"/>
      <c r="M16" s="99"/>
      <c r="N16" s="99" t="str">
        <f t="shared" ca="1" si="0"/>
        <v/>
      </c>
      <c r="O16" s="124"/>
      <c r="P16" s="96" t="s">
        <v>959</v>
      </c>
      <c r="Q16" s="125"/>
      <c r="R16" s="99"/>
      <c r="S16" s="99"/>
      <c r="T16" s="99"/>
      <c r="U16" s="99"/>
    </row>
    <row r="17" spans="2:21" x14ac:dyDescent="0.3">
      <c r="B17" s="127"/>
      <c r="C17" s="99" t="s">
        <v>41</v>
      </c>
      <c r="D17" s="99" t="s">
        <v>985</v>
      </c>
      <c r="E17" s="99"/>
      <c r="F17" s="99"/>
      <c r="G17" s="99" t="s">
        <v>986</v>
      </c>
      <c r="H17" s="99" t="s">
        <v>998</v>
      </c>
      <c r="I17" s="99" t="s">
        <v>999</v>
      </c>
      <c r="J17" s="99" t="s">
        <v>996</v>
      </c>
      <c r="K17" s="99" t="s">
        <v>1000</v>
      </c>
      <c r="L17" s="99"/>
      <c r="M17" s="99"/>
      <c r="N17" s="99" t="str">
        <f t="shared" ca="1" si="0"/>
        <v/>
      </c>
      <c r="O17" s="124"/>
      <c r="P17" s="96" t="s">
        <v>950</v>
      </c>
      <c r="Q17" s="125"/>
      <c r="R17" s="99"/>
      <c r="S17" s="99"/>
      <c r="T17" s="99"/>
      <c r="U17" s="99"/>
    </row>
    <row r="18" spans="2:21" x14ac:dyDescent="0.3">
      <c r="B18" s="127"/>
      <c r="C18" s="99" t="s">
        <v>987</v>
      </c>
      <c r="D18" s="99" t="s">
        <v>985</v>
      </c>
      <c r="E18" s="99"/>
      <c r="F18" s="99"/>
      <c r="G18" s="99" t="s">
        <v>988</v>
      </c>
      <c r="H18" s="99" t="s">
        <v>992</v>
      </c>
      <c r="I18" s="99" t="s">
        <v>995</v>
      </c>
      <c r="J18" s="99" t="s">
        <v>996</v>
      </c>
      <c r="K18" s="99" t="s">
        <v>997</v>
      </c>
      <c r="L18" s="99"/>
      <c r="M18" s="99"/>
      <c r="N18" s="99" t="str">
        <f t="shared" ca="1" si="0"/>
        <v/>
      </c>
      <c r="O18" s="124"/>
      <c r="P18" s="96" t="s">
        <v>950</v>
      </c>
      <c r="Q18" s="124"/>
      <c r="R18" s="99"/>
      <c r="S18" s="99"/>
      <c r="T18" s="99"/>
      <c r="U18" s="99"/>
    </row>
    <row r="19" spans="2:21" x14ac:dyDescent="0.3">
      <c r="B19" s="99"/>
      <c r="C19" s="99" t="s">
        <v>1038</v>
      </c>
      <c r="D19" s="99" t="s">
        <v>1039</v>
      </c>
      <c r="E19" s="99"/>
      <c r="F19" s="99"/>
      <c r="G19" s="99" t="s">
        <v>1040</v>
      </c>
      <c r="H19" s="99" t="s">
        <v>1041</v>
      </c>
      <c r="I19" s="99" t="s">
        <v>1042</v>
      </c>
      <c r="J19" s="99"/>
      <c r="K19" s="99"/>
      <c r="L19" s="99"/>
      <c r="M19" s="99"/>
      <c r="N19" s="99" t="str">
        <f t="shared" ca="1" si="0"/>
        <v/>
      </c>
      <c r="O19" s="99"/>
      <c r="P19" s="106" t="s">
        <v>1047</v>
      </c>
      <c r="Q19" s="99"/>
      <c r="R19" s="99"/>
      <c r="S19" s="99"/>
      <c r="T19" s="99"/>
      <c r="U19" s="99"/>
    </row>
    <row r="20" spans="2:21" x14ac:dyDescent="0.3">
      <c r="B20" s="99"/>
      <c r="C20" s="99" t="s">
        <v>582</v>
      </c>
      <c r="D20" s="99" t="s">
        <v>971</v>
      </c>
      <c r="E20" s="99"/>
      <c r="F20" s="99"/>
      <c r="G20" s="99" t="s">
        <v>1043</v>
      </c>
      <c r="H20" s="99" t="s">
        <v>1014</v>
      </c>
      <c r="I20" s="99" t="s">
        <v>1015</v>
      </c>
      <c r="J20" s="99" t="s">
        <v>1016</v>
      </c>
      <c r="K20" s="99" t="s">
        <v>1017</v>
      </c>
      <c r="L20" s="123">
        <v>45148</v>
      </c>
      <c r="M20" s="123">
        <v>46244</v>
      </c>
      <c r="N20" s="99">
        <f t="shared" ca="1" si="0"/>
        <v>285</v>
      </c>
      <c r="O20" s="129">
        <v>243179</v>
      </c>
      <c r="P20" s="106" t="s">
        <v>1046</v>
      </c>
      <c r="Q20" s="99"/>
      <c r="R20" s="99"/>
      <c r="S20" s="99"/>
      <c r="T20" s="99"/>
      <c r="U20" s="99" t="s">
        <v>1048</v>
      </c>
    </row>
    <row r="21" spans="2:21" x14ac:dyDescent="0.3">
      <c r="B21" s="99"/>
      <c r="C21" s="99" t="s">
        <v>582</v>
      </c>
      <c r="D21" s="99" t="s">
        <v>971</v>
      </c>
      <c r="E21" s="99"/>
      <c r="F21" s="99"/>
      <c r="G21" s="99" t="s">
        <v>1044</v>
      </c>
      <c r="H21" s="99" t="s">
        <v>1014</v>
      </c>
      <c r="I21" s="99" t="s">
        <v>1015</v>
      </c>
      <c r="J21" s="99" t="s">
        <v>1016</v>
      </c>
      <c r="K21" s="99" t="s">
        <v>1017</v>
      </c>
      <c r="L21" s="123">
        <v>45369</v>
      </c>
      <c r="M21" s="123">
        <v>46356</v>
      </c>
      <c r="N21" s="99">
        <f t="shared" ca="1" si="0"/>
        <v>397</v>
      </c>
      <c r="O21" s="129">
        <v>57679.32</v>
      </c>
      <c r="P21" s="106" t="s">
        <v>1046</v>
      </c>
      <c r="Q21" s="99"/>
      <c r="R21" s="99"/>
      <c r="S21" s="99"/>
      <c r="T21" s="99"/>
      <c r="U21" s="99" t="s">
        <v>1049</v>
      </c>
    </row>
    <row r="22" spans="2:21" x14ac:dyDescent="0.3">
      <c r="B22" s="99"/>
      <c r="C22" s="99" t="s">
        <v>582</v>
      </c>
      <c r="D22" s="99" t="s">
        <v>971</v>
      </c>
      <c r="E22" s="99"/>
      <c r="F22" s="99"/>
      <c r="G22" s="99" t="s">
        <v>1045</v>
      </c>
      <c r="H22" s="99" t="s">
        <v>1014</v>
      </c>
      <c r="I22" s="99" t="s">
        <v>1015</v>
      </c>
      <c r="J22" s="99" t="s">
        <v>1016</v>
      </c>
      <c r="K22" s="99" t="s">
        <v>1017</v>
      </c>
      <c r="L22" s="123">
        <v>45671</v>
      </c>
      <c r="M22" s="123">
        <v>46401</v>
      </c>
      <c r="N22" s="99">
        <f t="shared" ca="1" si="0"/>
        <v>442</v>
      </c>
      <c r="O22" s="129">
        <v>68399.63</v>
      </c>
      <c r="P22" s="106" t="s">
        <v>1046</v>
      </c>
      <c r="Q22" s="99"/>
      <c r="R22" s="99"/>
      <c r="S22" s="99"/>
      <c r="T22" s="99"/>
      <c r="U22" s="99" t="s">
        <v>1050</v>
      </c>
    </row>
  </sheetData>
  <autoFilter ref="B2:U22" xr:uid="{3BB48ED8-0563-41C4-B811-2324E033037A}">
    <filterColumn colId="18">
      <filters blank="1"/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14D48890799B4ABB396F7D5D8F789F" ma:contentTypeVersion="16" ma:contentTypeDescription="Crie um novo documento." ma:contentTypeScope="" ma:versionID="264550c5e71fd517efcbdf6195036467">
  <xsd:schema xmlns:xsd="http://www.w3.org/2001/XMLSchema" xmlns:xs="http://www.w3.org/2001/XMLSchema" xmlns:p="http://schemas.microsoft.com/office/2006/metadata/properties" xmlns:ns2="82028c33-8e46-4c54-a29c-47ec30bfe630" xmlns:ns3="901468bc-58e5-442c-b118-57880148280e" targetNamespace="http://schemas.microsoft.com/office/2006/metadata/properties" ma:root="true" ma:fieldsID="591d719de4fe8f340792b93bf2543d4a" ns2:_="" ns3:_="">
    <xsd:import namespace="82028c33-8e46-4c54-a29c-47ec30bfe630"/>
    <xsd:import namespace="901468bc-58e5-442c-b118-57880148280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28c33-8e46-4c54-a29c-47ec30bfe6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a0b213-6a22-4590-ac92-12ede9f9fa1d}" ma:internalName="TaxCatchAll" ma:showField="CatchAllData" ma:web="82028c33-8e46-4c54-a29c-47ec30bfe6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468bc-58e5-442c-b118-5788014828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196578-54e8-4f0c-b2cd-be7eb692b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1468bc-58e5-442c-b118-57880148280e">
      <Terms xmlns="http://schemas.microsoft.com/office/infopath/2007/PartnerControls"/>
    </lcf76f155ced4ddcb4097134ff3c332f>
    <TaxCatchAll xmlns="82028c33-8e46-4c54-a29c-47ec30bfe630" xsi:nil="true"/>
  </documentManagement>
</p:properties>
</file>

<file path=customXml/itemProps1.xml><?xml version="1.0" encoding="utf-8"?>
<ds:datastoreItem xmlns:ds="http://schemas.openxmlformats.org/officeDocument/2006/customXml" ds:itemID="{320BF3F9-77A3-42AE-8C18-1E4A4FE40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028c33-8e46-4c54-a29c-47ec30bfe630"/>
    <ds:schemaRef ds:uri="901468bc-58e5-442c-b118-578801482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B9EFDD-545F-44DA-84C5-8A2DD93802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BBCF6-6DEC-441C-81A1-895AE9520DD2}">
  <ds:schemaRefs>
    <ds:schemaRef ds:uri="http://schemas.microsoft.com/office/2006/metadata/properties"/>
    <ds:schemaRef ds:uri="http://schemas.microsoft.com/office/infopath/2007/PartnerControls"/>
    <ds:schemaRef ds:uri="901468bc-58e5-442c-b118-57880148280e"/>
    <ds:schemaRef ds:uri="82028c33-8e46-4c54-a29c-47ec30bfe6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Desktops &amp; Notebooks</vt:lpstr>
      <vt:lpstr>Monitores</vt:lpstr>
      <vt:lpstr>Impressoras</vt:lpstr>
      <vt:lpstr>Smartphones</vt:lpstr>
      <vt:lpstr>Linhas</vt:lpstr>
      <vt:lpstr>Licenças</vt:lpstr>
      <vt:lpstr>Senhas IPs</vt:lpstr>
      <vt:lpstr>Acessos</vt:lpstr>
      <vt:lpstr>Wi-Fi</vt:lpstr>
      <vt:lpstr>Serviços Contratados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R Borges</dc:creator>
  <cp:lastModifiedBy>Edilson  Silva</cp:lastModifiedBy>
  <dcterms:created xsi:type="dcterms:W3CDTF">2025-01-16T16:17:56Z</dcterms:created>
  <dcterms:modified xsi:type="dcterms:W3CDTF">2025-10-29T21:09:16Z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0x0101006814D48890799B4ABB396F7D5D8F789F</vt:lpwstr>
  </property>
</Properties>
</file>